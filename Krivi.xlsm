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tachev\git\adu-hhctl-ir\HHCTL-IR-TCRT5000\"/>
    </mc:Choice>
  </mc:AlternateContent>
  <bookViews>
    <workbookView xWindow="0" yWindow="0" windowWidth="26970" windowHeight="10830" activeTab="1"/>
  </bookViews>
  <sheets>
    <sheet name="Sheet1" sheetId="1" r:id="rId1"/>
    <sheet name="Sheet2" sheetId="2" r:id="rId2"/>
  </sheets>
  <functionGroups builtInGroupCount="19"/>
  <definedNames>
    <definedName name="solver_adj" localSheetId="1" hidden="1">Sheet2!$C$1:$C$1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Sheet2!$C$1</definedName>
    <definedName name="solver_lhs2" localSheetId="1" hidden="1">Sheet2!#REF!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Sheet2!$D$1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2" localSheetId="1" hidden="1">3</definedName>
    <definedName name="solver_rhs1" localSheetId="1" hidden="1">0</definedName>
    <definedName name="solver_rhs2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71027" iterateDelta="1E-4"/>
</workbook>
</file>

<file path=xl/calcChain.xml><?xml version="1.0" encoding="utf-8"?>
<calcChain xmlns="http://schemas.openxmlformats.org/spreadsheetml/2006/main">
  <c r="G5" i="2" l="1"/>
  <c r="M2" i="2"/>
  <c r="G3" i="2"/>
  <c r="G4" i="2"/>
  <c r="C64" i="2" s="1"/>
  <c r="G2" i="2"/>
  <c r="C5" i="2" s="1"/>
  <c r="F118" i="1"/>
  <c r="A118" i="1"/>
  <c r="F117" i="1"/>
  <c r="A117" i="1"/>
  <c r="F116" i="1"/>
  <c r="A116" i="1"/>
  <c r="F115" i="1"/>
  <c r="A115" i="1"/>
  <c r="F114" i="1"/>
  <c r="A114" i="1"/>
  <c r="F113" i="1"/>
  <c r="A113" i="1"/>
  <c r="F112" i="1"/>
  <c r="A112" i="1"/>
  <c r="F111" i="1"/>
  <c r="A111" i="1"/>
  <c r="F110" i="1"/>
  <c r="A110" i="1"/>
  <c r="F109" i="1"/>
  <c r="A109" i="1"/>
  <c r="F108" i="1"/>
  <c r="A108" i="1"/>
  <c r="F107" i="1"/>
  <c r="A107" i="1"/>
  <c r="F106" i="1"/>
  <c r="A106" i="1"/>
  <c r="F105" i="1"/>
  <c r="A105" i="1"/>
  <c r="F104" i="1"/>
  <c r="A104" i="1"/>
  <c r="F103" i="1"/>
  <c r="A103" i="1"/>
  <c r="F102" i="1"/>
  <c r="A102" i="1"/>
  <c r="F101" i="1"/>
  <c r="A101" i="1"/>
  <c r="F100" i="1"/>
  <c r="A100" i="1"/>
  <c r="F99" i="1"/>
  <c r="A99" i="1"/>
  <c r="F98" i="1"/>
  <c r="A98" i="1"/>
  <c r="F97" i="1"/>
  <c r="A97" i="1"/>
  <c r="F96" i="1"/>
  <c r="A96" i="1"/>
  <c r="F95" i="1"/>
  <c r="A95" i="1"/>
  <c r="F94" i="1"/>
  <c r="A94" i="1"/>
  <c r="F93" i="1"/>
  <c r="A93" i="1"/>
  <c r="F92" i="1"/>
  <c r="A92" i="1"/>
  <c r="F91" i="1"/>
  <c r="A91" i="1"/>
  <c r="F90" i="1"/>
  <c r="A90" i="1"/>
  <c r="F89" i="1"/>
  <c r="A89" i="1"/>
  <c r="F88" i="1"/>
  <c r="A88" i="1"/>
  <c r="F87" i="1"/>
  <c r="A87" i="1"/>
  <c r="F86" i="1"/>
  <c r="A86" i="1"/>
  <c r="F85" i="1"/>
  <c r="A85" i="1"/>
  <c r="F84" i="1"/>
  <c r="A84" i="1"/>
  <c r="F83" i="1"/>
  <c r="A83" i="1"/>
  <c r="F82" i="1"/>
  <c r="A82" i="1"/>
  <c r="F81" i="1"/>
  <c r="A81" i="1"/>
  <c r="F80" i="1"/>
  <c r="A80" i="1"/>
  <c r="F79" i="1"/>
  <c r="A79" i="1"/>
  <c r="F78" i="1"/>
  <c r="A78" i="1"/>
  <c r="F77" i="1"/>
  <c r="A77" i="1"/>
  <c r="F76" i="1"/>
  <c r="A76" i="1"/>
  <c r="F75" i="1"/>
  <c r="A75" i="1"/>
  <c r="F74" i="1"/>
  <c r="A74" i="1"/>
  <c r="F73" i="1"/>
  <c r="A73" i="1"/>
  <c r="F72" i="1"/>
  <c r="A72" i="1"/>
  <c r="F71" i="1"/>
  <c r="A71" i="1"/>
  <c r="F70" i="1"/>
  <c r="A70" i="1"/>
  <c r="F69" i="1"/>
  <c r="A69" i="1"/>
  <c r="F68" i="1"/>
  <c r="A68" i="1"/>
  <c r="F67" i="1"/>
  <c r="A67" i="1"/>
  <c r="F66" i="1"/>
  <c r="A66" i="1"/>
  <c r="F65" i="1"/>
  <c r="A65" i="1"/>
  <c r="F64" i="1"/>
  <c r="A64" i="1"/>
  <c r="F63" i="1"/>
  <c r="A63" i="1"/>
  <c r="F62" i="1"/>
  <c r="A62" i="1"/>
  <c r="F61" i="1"/>
  <c r="A61" i="1"/>
  <c r="F60" i="1"/>
  <c r="A60" i="1"/>
  <c r="F59" i="1"/>
  <c r="A59" i="1"/>
  <c r="F58" i="1"/>
  <c r="A58" i="1"/>
  <c r="F57" i="1"/>
  <c r="A57" i="1"/>
  <c r="F56" i="1"/>
  <c r="A56" i="1"/>
  <c r="F55" i="1"/>
  <c r="A55" i="1"/>
  <c r="F54" i="1"/>
  <c r="A54" i="1"/>
  <c r="F53" i="1"/>
  <c r="A53" i="1"/>
  <c r="F52" i="1"/>
  <c r="A52" i="1"/>
  <c r="F51" i="1"/>
  <c r="A51" i="1"/>
  <c r="F50" i="1"/>
  <c r="A50" i="1"/>
  <c r="F49" i="1"/>
  <c r="A49" i="1"/>
  <c r="F48" i="1"/>
  <c r="A48" i="1"/>
  <c r="F47" i="1"/>
  <c r="A47" i="1"/>
  <c r="F46" i="1"/>
  <c r="A46" i="1"/>
  <c r="F45" i="1"/>
  <c r="A45" i="1"/>
  <c r="F44" i="1"/>
  <c r="A44" i="1"/>
  <c r="F43" i="1"/>
  <c r="A43" i="1"/>
  <c r="F42" i="1"/>
  <c r="A42" i="1"/>
  <c r="F41" i="1"/>
  <c r="A41" i="1"/>
  <c r="F40" i="1"/>
  <c r="A40" i="1"/>
  <c r="F39" i="1"/>
  <c r="A39" i="1"/>
  <c r="F38" i="1"/>
  <c r="A38" i="1"/>
  <c r="F37" i="1"/>
  <c r="A37" i="1"/>
  <c r="F36" i="1"/>
  <c r="A36" i="1"/>
  <c r="F35" i="1"/>
  <c r="A35" i="1"/>
  <c r="F34" i="1"/>
  <c r="A34" i="1"/>
  <c r="F33" i="1"/>
  <c r="C33" i="1"/>
  <c r="E33" i="1" s="1"/>
  <c r="A33" i="1"/>
  <c r="F32" i="1"/>
  <c r="E32" i="1"/>
  <c r="D32" i="1"/>
  <c r="C32" i="1"/>
  <c r="A32" i="1"/>
  <c r="F31" i="1"/>
  <c r="E31" i="1"/>
  <c r="C31" i="1"/>
  <c r="D31" i="1" s="1"/>
  <c r="A31" i="1"/>
  <c r="F30" i="1"/>
  <c r="C30" i="1"/>
  <c r="E30" i="1" s="1"/>
  <c r="A30" i="1"/>
  <c r="F29" i="1"/>
  <c r="C29" i="1"/>
  <c r="E29" i="1" s="1"/>
  <c r="A29" i="1"/>
  <c r="F28" i="1"/>
  <c r="E28" i="1"/>
  <c r="D28" i="1"/>
  <c r="C28" i="1"/>
  <c r="A28" i="1"/>
  <c r="F27" i="1"/>
  <c r="E27" i="1"/>
  <c r="C27" i="1"/>
  <c r="D27" i="1" s="1"/>
  <c r="A27" i="1"/>
  <c r="F26" i="1"/>
  <c r="C26" i="1"/>
  <c r="E26" i="1" s="1"/>
  <c r="A26" i="1"/>
  <c r="F25" i="1"/>
  <c r="C25" i="1"/>
  <c r="E25" i="1" s="1"/>
  <c r="A25" i="1"/>
  <c r="F24" i="1"/>
  <c r="E24" i="1"/>
  <c r="D24" i="1"/>
  <c r="C24" i="1"/>
  <c r="A24" i="1"/>
  <c r="F23" i="1"/>
  <c r="E23" i="1"/>
  <c r="C23" i="1"/>
  <c r="D23" i="1" s="1"/>
  <c r="A23" i="1"/>
  <c r="F22" i="1"/>
  <c r="C22" i="1"/>
  <c r="E22" i="1" s="1"/>
  <c r="A22" i="1"/>
  <c r="F21" i="1"/>
  <c r="C21" i="1"/>
  <c r="E21" i="1" s="1"/>
  <c r="A21" i="1"/>
  <c r="F20" i="1"/>
  <c r="E20" i="1"/>
  <c r="D20" i="1"/>
  <c r="C20" i="1"/>
  <c r="A20" i="1"/>
  <c r="F19" i="1"/>
  <c r="E19" i="1"/>
  <c r="C19" i="1"/>
  <c r="D19" i="1" s="1"/>
  <c r="A19" i="1"/>
  <c r="F18" i="1"/>
  <c r="C18" i="1"/>
  <c r="E18" i="1" s="1"/>
  <c r="A18" i="1"/>
  <c r="F17" i="1"/>
  <c r="C17" i="1"/>
  <c r="E17" i="1" s="1"/>
  <c r="A17" i="1"/>
  <c r="F16" i="1"/>
  <c r="E16" i="1"/>
  <c r="D16" i="1"/>
  <c r="C16" i="1"/>
  <c r="A16" i="1"/>
  <c r="F15" i="1"/>
  <c r="E15" i="1"/>
  <c r="C15" i="1"/>
  <c r="D15" i="1" s="1"/>
  <c r="A15" i="1"/>
  <c r="F14" i="1"/>
  <c r="C14" i="1"/>
  <c r="E14" i="1" s="1"/>
  <c r="A14" i="1"/>
  <c r="F13" i="1"/>
  <c r="C13" i="1"/>
  <c r="E13" i="1" s="1"/>
  <c r="A13" i="1"/>
  <c r="F12" i="1"/>
  <c r="E12" i="1"/>
  <c r="D12" i="1"/>
  <c r="C12" i="1"/>
  <c r="A12" i="1"/>
  <c r="F11" i="1"/>
  <c r="E11" i="1"/>
  <c r="C11" i="1"/>
  <c r="D11" i="1" s="1"/>
  <c r="A11" i="1"/>
  <c r="F10" i="1"/>
  <c r="C10" i="1"/>
  <c r="E10" i="1" s="1"/>
  <c r="A10" i="1"/>
  <c r="F9" i="1"/>
  <c r="C9" i="1"/>
  <c r="E9" i="1" s="1"/>
  <c r="A9" i="1"/>
  <c r="F8" i="1"/>
  <c r="E8" i="1"/>
  <c r="D8" i="1"/>
  <c r="C8" i="1"/>
  <c r="A8" i="1"/>
  <c r="F7" i="1"/>
  <c r="E7" i="1"/>
  <c r="C7" i="1"/>
  <c r="D7" i="1" s="1"/>
  <c r="A7" i="1"/>
  <c r="F6" i="1"/>
  <c r="C6" i="1"/>
  <c r="E6" i="1" s="1"/>
  <c r="A6" i="1"/>
  <c r="F5" i="1"/>
  <c r="C5" i="1"/>
  <c r="E5" i="1" s="1"/>
  <c r="A5" i="1"/>
  <c r="F4" i="1"/>
  <c r="E4" i="1"/>
  <c r="D4" i="1"/>
  <c r="C4" i="1"/>
  <c r="A4" i="1"/>
  <c r="C83" i="2" l="1"/>
  <c r="C118" i="2"/>
  <c r="C114" i="2"/>
  <c r="C110" i="2"/>
  <c r="C106" i="2"/>
  <c r="C102" i="2"/>
  <c r="C98" i="2"/>
  <c r="C94" i="2"/>
  <c r="C90" i="2"/>
  <c r="C86" i="2"/>
  <c r="C117" i="2"/>
  <c r="C113" i="2"/>
  <c r="C109" i="2"/>
  <c r="C105" i="2"/>
  <c r="C101" i="2"/>
  <c r="C97" i="2"/>
  <c r="C93" i="2"/>
  <c r="C89" i="2"/>
  <c r="C85" i="2"/>
  <c r="C116" i="2"/>
  <c r="C112" i="2"/>
  <c r="C108" i="2"/>
  <c r="C104" i="2"/>
  <c r="C100" i="2"/>
  <c r="C96" i="2"/>
  <c r="C92" i="2"/>
  <c r="C88" i="2"/>
  <c r="C84" i="2"/>
  <c r="C115" i="2"/>
  <c r="C111" i="2"/>
  <c r="C107" i="2"/>
  <c r="C103" i="2"/>
  <c r="C99" i="2"/>
  <c r="C95" i="2"/>
  <c r="C91" i="2"/>
  <c r="C87" i="2"/>
  <c r="C79" i="2"/>
  <c r="C67" i="2"/>
  <c r="C75" i="2"/>
  <c r="C66" i="2"/>
  <c r="C71" i="2"/>
  <c r="C63" i="2"/>
  <c r="C82" i="2"/>
  <c r="C70" i="2"/>
  <c r="C74" i="2"/>
  <c r="C81" i="2"/>
  <c r="C77" i="2"/>
  <c r="C73" i="2"/>
  <c r="C69" i="2"/>
  <c r="C65" i="2"/>
  <c r="C78" i="2"/>
  <c r="C80" i="2"/>
  <c r="C76" i="2"/>
  <c r="C72" i="2"/>
  <c r="C68" i="2"/>
  <c r="C33" i="2"/>
  <c r="C18" i="2"/>
  <c r="C30" i="2"/>
  <c r="C14" i="2"/>
  <c r="C26" i="2"/>
  <c r="C10" i="2"/>
  <c r="C22" i="2"/>
  <c r="C6" i="2"/>
  <c r="C62" i="2"/>
  <c r="C50" i="2"/>
  <c r="C38" i="2"/>
  <c r="C4" i="2"/>
  <c r="C60" i="2"/>
  <c r="C56" i="2"/>
  <c r="C52" i="2"/>
  <c r="C48" i="2"/>
  <c r="C44" i="2"/>
  <c r="C40" i="2"/>
  <c r="C36" i="2"/>
  <c r="C32" i="2"/>
  <c r="C28" i="2"/>
  <c r="C24" i="2"/>
  <c r="C20" i="2"/>
  <c r="C16" i="2"/>
  <c r="C12" i="2"/>
  <c r="C8" i="2"/>
  <c r="C58" i="2"/>
  <c r="C46" i="2"/>
  <c r="C34" i="2"/>
  <c r="C59" i="2"/>
  <c r="C55" i="2"/>
  <c r="C51" i="2"/>
  <c r="C47" i="2"/>
  <c r="C43" i="2"/>
  <c r="C39" i="2"/>
  <c r="C35" i="2"/>
  <c r="C31" i="2"/>
  <c r="C27" i="2"/>
  <c r="C23" i="2"/>
  <c r="C19" i="2"/>
  <c r="C15" i="2"/>
  <c r="C11" i="2"/>
  <c r="C7" i="2"/>
  <c r="C54" i="2"/>
  <c r="C42" i="2"/>
  <c r="C61" i="2"/>
  <c r="C57" i="2"/>
  <c r="C53" i="2"/>
  <c r="C49" i="2"/>
  <c r="C45" i="2"/>
  <c r="C41" i="2"/>
  <c r="C37" i="2"/>
  <c r="C29" i="2"/>
  <c r="C25" i="2"/>
  <c r="C21" i="2"/>
  <c r="C17" i="2"/>
  <c r="C13" i="2"/>
  <c r="C9" i="2"/>
  <c r="D5" i="1"/>
  <c r="D9" i="1"/>
  <c r="D13" i="1"/>
  <c r="D17" i="1"/>
  <c r="D21" i="1"/>
  <c r="D25" i="1"/>
  <c r="D29" i="1"/>
  <c r="D33" i="1"/>
  <c r="D6" i="1"/>
  <c r="D10" i="1"/>
  <c r="D14" i="1"/>
  <c r="D18" i="1"/>
  <c r="D22" i="1"/>
  <c r="D26" i="1"/>
  <c r="D30" i="1"/>
  <c r="J4" i="2"/>
</calcChain>
</file>

<file path=xl/sharedStrings.xml><?xml version="1.0" encoding="utf-8"?>
<sst xmlns="http://schemas.openxmlformats.org/spreadsheetml/2006/main" count="19" uniqueCount="19">
  <si>
    <t>Max:</t>
  </si>
  <si>
    <t>Линеен</t>
  </si>
  <si>
    <t>a=</t>
  </si>
  <si>
    <t>Изпъкнал</t>
  </si>
  <si>
    <t>Max =</t>
  </si>
  <si>
    <t>Вдлъбнат</t>
  </si>
  <si>
    <t>a =</t>
  </si>
  <si>
    <t>Min:</t>
  </si>
  <si>
    <t>Y= aX+b</t>
  </si>
  <si>
    <t>b=</t>
  </si>
  <si>
    <t>Km =</t>
  </si>
  <si>
    <r>
      <t>Y = N</t>
    </r>
    <r>
      <rPr>
        <i/>
        <vertAlign val="superscript"/>
        <sz val="11"/>
        <color rgb="FF000000"/>
        <rFont val="Calibri"/>
        <family val="2"/>
        <charset val="204"/>
      </rPr>
      <t>a</t>
    </r>
    <r>
      <rPr>
        <i/>
        <sz val="11"/>
        <color rgb="FF000000"/>
        <rFont val="Calibri"/>
        <family val="2"/>
        <charset val="204"/>
      </rPr>
      <t>/b</t>
    </r>
  </si>
  <si>
    <t>b =</t>
  </si>
  <si>
    <t>№</t>
  </si>
  <si>
    <t>X</t>
  </si>
  <si>
    <t>Y (линеен)</t>
  </si>
  <si>
    <t>Y (изпъкнал)</t>
  </si>
  <si>
    <t>Y (вдлъбнат)</t>
  </si>
  <si>
    <t>Min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</si>
</sst>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b/>
      <sz val="10"/>
      <color rgb="FF000000"/>
      <name val="Calibri"/>
      <family val="2"/>
      <charset val="204"/>
    </font>
    <font>
      <sz val="10"/>
      <color rgb="FFFFFFFF"/>
      <name val="Calibri"/>
      <family val="2"/>
      <charset val="204"/>
    </font>
    <font>
      <sz val="10"/>
      <color rgb="FFCC0000"/>
      <name val="Calibri"/>
      <family val="2"/>
      <charset val="204"/>
    </font>
    <font>
      <b/>
      <sz val="10"/>
      <color rgb="FFFFFFFF"/>
      <name val="Calibri"/>
      <family val="2"/>
      <charset val="204"/>
    </font>
    <font>
      <i/>
      <sz val="10"/>
      <color rgb="FF808080"/>
      <name val="Calibri"/>
      <family val="2"/>
      <charset val="204"/>
    </font>
    <font>
      <sz val="10"/>
      <color rgb="FF006600"/>
      <name val="Calibri"/>
      <family val="2"/>
      <charset val="204"/>
    </font>
    <font>
      <b/>
      <sz val="24"/>
      <color rgb="FF000000"/>
      <name val="Calibri"/>
      <family val="2"/>
      <charset val="204"/>
    </font>
    <font>
      <sz val="18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sz val="10"/>
      <color rgb="FF996600"/>
      <name val="Calibri"/>
      <family val="2"/>
      <charset val="204"/>
    </font>
    <font>
      <sz val="10"/>
      <color rgb="FF333333"/>
      <name val="Calibri"/>
      <family val="2"/>
      <charset val="204"/>
    </font>
    <font>
      <i/>
      <sz val="11"/>
      <color rgb="FF000000"/>
      <name val="Calibri"/>
      <family val="2"/>
      <charset val="204"/>
    </font>
    <font>
      <i/>
      <vertAlign val="superscript"/>
      <sz val="11"/>
      <color rgb="FF000000"/>
      <name val="Calibri"/>
      <family val="2"/>
      <charset val="204"/>
    </font>
    <font>
      <vertAlign val="superscript"/>
      <sz val="11"/>
      <color rgb="FF00000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FF2CC"/>
        <bgColor rgb="FFFFF2CC"/>
      </patternFill>
    </fill>
    <fill>
      <patternFill patternType="solid">
        <fgColor rgb="FFE2F0D9"/>
        <bgColor rgb="FFE2F0D9"/>
      </patternFill>
    </fill>
    <fill>
      <patternFill patternType="solid">
        <fgColor rgb="FFDEEBF7"/>
        <bgColor rgb="FFDEEBF7"/>
      </patternFill>
    </fill>
    <fill>
      <patternFill patternType="solid">
        <fgColor rgb="FFFBE5D6"/>
        <bgColor rgb="FFFBE5D6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7">
    <xf numFmtId="0" fontId="0" fillId="0" borderId="0"/>
    <xf numFmtId="0" fontId="9" fillId="0" borderId="0"/>
    <xf numFmtId="0" fontId="10" fillId="0" borderId="0"/>
    <xf numFmtId="0" fontId="7" fillId="7" borderId="0"/>
    <xf numFmtId="0" fontId="4" fillId="5" borderId="0"/>
    <xf numFmtId="0" fontId="11" fillId="8" borderId="0"/>
    <xf numFmtId="0" fontId="12" fillId="8" borderId="1"/>
    <xf numFmtId="0" fontId="2" fillId="0" borderId="0"/>
    <xf numFmtId="0" fontId="3" fillId="2" borderId="0"/>
    <xf numFmtId="0" fontId="3" fillId="3" borderId="0"/>
    <xf numFmtId="0" fontId="2" fillId="4" borderId="0"/>
    <xf numFmtId="0" fontId="5" fillId="6" borderId="0"/>
    <xf numFmtId="0" fontId="6" fillId="0" borderId="0"/>
    <xf numFmtId="0" fontId="8" fillId="0" borderId="0"/>
    <xf numFmtId="0" fontId="1" fillId="0" borderId="0"/>
    <xf numFmtId="0" fontId="1" fillId="0" borderId="0"/>
    <xf numFmtId="0" fontId="4" fillId="0" borderId="0"/>
  </cellStyleXfs>
  <cellXfs count="23">
    <xf numFmtId="0" fontId="0" fillId="0" borderId="0" xfId="0"/>
    <xf numFmtId="0" fontId="0" fillId="9" borderId="2" xfId="0" applyFill="1" applyBorder="1" applyAlignment="1">
      <alignment horizontal="right"/>
    </xf>
    <xf numFmtId="0" fontId="0" fillId="9" borderId="2" xfId="0" applyFill="1" applyBorder="1"/>
    <xf numFmtId="2" fontId="0" fillId="10" borderId="3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right"/>
    </xf>
    <xf numFmtId="1" fontId="0" fillId="10" borderId="2" xfId="0" applyNumberFormat="1" applyFill="1" applyBorder="1"/>
    <xf numFmtId="0" fontId="0" fillId="11" borderId="3" xfId="0" applyFill="1" applyBorder="1"/>
    <xf numFmtId="0" fontId="0" fillId="11" borderId="2" xfId="0" applyFill="1" applyBorder="1" applyAlignment="1">
      <alignment horizontal="right"/>
    </xf>
    <xf numFmtId="0" fontId="0" fillId="11" borderId="2" xfId="0" applyFill="1" applyBorder="1"/>
    <xf numFmtId="0" fontId="0" fillId="12" borderId="3" xfId="0" applyFill="1" applyBorder="1"/>
    <xf numFmtId="0" fontId="0" fillId="12" borderId="2" xfId="0" applyFill="1" applyBorder="1" applyAlignment="1">
      <alignment horizontal="right"/>
    </xf>
    <xf numFmtId="0" fontId="0" fillId="12" borderId="2" xfId="0" applyFill="1" applyBorder="1"/>
    <xf numFmtId="2" fontId="0" fillId="10" borderId="4" xfId="0" applyNumberFormat="1" applyFill="1" applyBorder="1" applyAlignment="1">
      <alignment horizontal="center"/>
    </xf>
    <xf numFmtId="0" fontId="0" fillId="11" borderId="4" xfId="0" applyFill="1" applyBorder="1"/>
    <xf numFmtId="0" fontId="13" fillId="12" borderId="4" xfId="0" applyFont="1" applyFill="1" applyBorder="1"/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11" borderId="2" xfId="0" applyFill="1" applyBorder="1" applyAlignment="1">
      <alignment horizontal="right" vertical="center" wrapText="1"/>
    </xf>
    <xf numFmtId="2" fontId="0" fillId="0" borderId="0" xfId="0" applyNumberFormat="1"/>
    <xf numFmtId="1" fontId="0" fillId="0" borderId="0" xfId="0" applyNumberFormat="1"/>
    <xf numFmtId="0" fontId="15" fillId="0" borderId="0" xfId="0" applyFont="1"/>
    <xf numFmtId="49" fontId="0" fillId="0" borderId="0" xfId="0" applyNumberFormat="1" applyAlignment="1">
      <alignment horizontal="left" vertical="top" wrapText="1"/>
    </xf>
  </cellXfs>
  <cellStyles count="17">
    <cellStyle name="Accent" xfId="7"/>
    <cellStyle name="Accent 1" xfId="8"/>
    <cellStyle name="Accent 2" xfId="9"/>
    <cellStyle name="Accent 3" xfId="10"/>
    <cellStyle name="Bad" xfId="4" builtinId="27" customBuiltin="1"/>
    <cellStyle name="Error" xfId="11"/>
    <cellStyle name="Footnote" xfId="12"/>
    <cellStyle name="Good" xfId="3" builtinId="26" customBuiltin="1"/>
    <cellStyle name="Heading" xfId="13"/>
    <cellStyle name="Heading 1" xfId="1" builtinId="16" customBuiltin="1"/>
    <cellStyle name="Heading 2" xfId="2" builtinId="17" customBuiltin="1"/>
    <cellStyle name="Neutral" xfId="5" builtinId="28" customBuiltin="1"/>
    <cellStyle name="Normal" xfId="0" builtinId="0" customBuiltin="1"/>
    <cellStyle name="Note" xfId="6" builtinId="10" customBuiltin="1"/>
    <cellStyle name="Status" xfId="14"/>
    <cellStyle name="Text" xfId="15"/>
    <cellStyle name="Warning" xfId="1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pPr>
              <a:defRPr sz="1400" b="0" baseline="0">
                <a:solidFill>
                  <a:srgbClr val="595959"/>
                </a:solidFill>
                <a:latin typeface="Calibri"/>
              </a:defRPr>
            </a:pPr>
            <a:r>
              <a:rPr lang="bg-BG"/>
              <a:t>Y (линеен)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Sheet1!$D$3:$D$3</c:f>
              <c:strCache>
                <c:ptCount val="1"/>
                <c:pt idx="0">
                  <c:v>Y (линеен)</c:v>
                </c:pt>
              </c:strCache>
            </c:strRef>
          </c:tx>
          <c:spPr>
            <a:ln w="19080">
              <a:solidFill>
                <a:srgbClr val="5B9BD5"/>
              </a:solidFill>
            </a:ln>
          </c:spPr>
          <c:marker>
            <c:symbol val="circle"/>
            <c:size val="5"/>
          </c:marker>
          <c:xVal>
            <c:numRef>
              <c:f>Sheet1!$C$4:$C$33</c:f>
              <c:numCache>
                <c:formatCode>0.00</c:formatCode>
                <c:ptCount val="30"/>
                <c:pt idx="0">
                  <c:v>0.86956521739130432</c:v>
                </c:pt>
                <c:pt idx="1">
                  <c:v>1.7391304347826086</c:v>
                </c:pt>
                <c:pt idx="2">
                  <c:v>2.6086956521739131</c:v>
                </c:pt>
                <c:pt idx="3">
                  <c:v>3.4782608695652173</c:v>
                </c:pt>
                <c:pt idx="4">
                  <c:v>4.3478260869565215</c:v>
                </c:pt>
                <c:pt idx="5">
                  <c:v>5.2173913043478262</c:v>
                </c:pt>
                <c:pt idx="6">
                  <c:v>6.0869565217391308</c:v>
                </c:pt>
                <c:pt idx="7">
                  <c:v>6.9565217391304346</c:v>
                </c:pt>
                <c:pt idx="8">
                  <c:v>7.8260869565217392</c:v>
                </c:pt>
                <c:pt idx="9">
                  <c:v>8.695652173913043</c:v>
                </c:pt>
                <c:pt idx="10">
                  <c:v>9.5652173913043477</c:v>
                </c:pt>
                <c:pt idx="11">
                  <c:v>10.434782608695652</c:v>
                </c:pt>
                <c:pt idx="12">
                  <c:v>11.304347826086957</c:v>
                </c:pt>
                <c:pt idx="13">
                  <c:v>12.173913043478262</c:v>
                </c:pt>
                <c:pt idx="14">
                  <c:v>13.043478260869565</c:v>
                </c:pt>
                <c:pt idx="15">
                  <c:v>13.913043478260869</c:v>
                </c:pt>
                <c:pt idx="16">
                  <c:v>14.782608695652174</c:v>
                </c:pt>
                <c:pt idx="17">
                  <c:v>15.652173913043478</c:v>
                </c:pt>
                <c:pt idx="18">
                  <c:v>16.521739130434781</c:v>
                </c:pt>
                <c:pt idx="19">
                  <c:v>17.391304347826086</c:v>
                </c:pt>
                <c:pt idx="20">
                  <c:v>18.260869565217391</c:v>
                </c:pt>
                <c:pt idx="21">
                  <c:v>19.130434782608695</c:v>
                </c:pt>
                <c:pt idx="22">
                  <c:v>20</c:v>
                </c:pt>
                <c:pt idx="23">
                  <c:v>20.869565217391305</c:v>
                </c:pt>
                <c:pt idx="24">
                  <c:v>21.739130434782609</c:v>
                </c:pt>
                <c:pt idx="25">
                  <c:v>22.608695652173914</c:v>
                </c:pt>
                <c:pt idx="26">
                  <c:v>23.478260869565219</c:v>
                </c:pt>
                <c:pt idx="27">
                  <c:v>24.347826086956523</c:v>
                </c:pt>
                <c:pt idx="28">
                  <c:v>25.217391304347824</c:v>
                </c:pt>
                <c:pt idx="29">
                  <c:v>26.086956521739129</c:v>
                </c:pt>
              </c:numCache>
            </c:numRef>
          </c:xVal>
          <c:yVal>
            <c:numRef>
              <c:f>Sheet1!$D$4:$D$33</c:f>
              <c:numCache>
                <c:formatCode>0.00</c:formatCode>
                <c:ptCount val="30"/>
                <c:pt idx="0">
                  <c:v>3.3304347826086955</c:v>
                </c:pt>
                <c:pt idx="1">
                  <c:v>4.4608695652173918</c:v>
                </c:pt>
                <c:pt idx="2">
                  <c:v>5.5913043478260871</c:v>
                </c:pt>
                <c:pt idx="3">
                  <c:v>6.7217391304347824</c:v>
                </c:pt>
                <c:pt idx="4">
                  <c:v>7.8521739130434787</c:v>
                </c:pt>
                <c:pt idx="5">
                  <c:v>8.9826086956521749</c:v>
                </c:pt>
                <c:pt idx="6">
                  <c:v>10.11304347826087</c:v>
                </c:pt>
                <c:pt idx="7">
                  <c:v>11.243478260869566</c:v>
                </c:pt>
                <c:pt idx="8">
                  <c:v>12.373913043478261</c:v>
                </c:pt>
                <c:pt idx="9">
                  <c:v>13.504347826086956</c:v>
                </c:pt>
                <c:pt idx="10">
                  <c:v>14.634782608695652</c:v>
                </c:pt>
                <c:pt idx="11">
                  <c:v>15.765217391304347</c:v>
                </c:pt>
                <c:pt idx="12">
                  <c:v>16.895652173913046</c:v>
                </c:pt>
                <c:pt idx="13">
                  <c:v>18.026086956521741</c:v>
                </c:pt>
                <c:pt idx="14">
                  <c:v>19.156521739130433</c:v>
                </c:pt>
                <c:pt idx="15">
                  <c:v>20.286956521739128</c:v>
                </c:pt>
                <c:pt idx="16">
                  <c:v>21.417391304347827</c:v>
                </c:pt>
                <c:pt idx="17">
                  <c:v>22.547826086956523</c:v>
                </c:pt>
                <c:pt idx="18">
                  <c:v>23.678260869565214</c:v>
                </c:pt>
                <c:pt idx="19">
                  <c:v>24.808695652173913</c:v>
                </c:pt>
                <c:pt idx="20">
                  <c:v>25.939130434782609</c:v>
                </c:pt>
                <c:pt idx="21">
                  <c:v>27.069565217391304</c:v>
                </c:pt>
                <c:pt idx="22">
                  <c:v>28.2</c:v>
                </c:pt>
                <c:pt idx="23">
                  <c:v>29.330434782608695</c:v>
                </c:pt>
                <c:pt idx="24">
                  <c:v>30.460869565217394</c:v>
                </c:pt>
                <c:pt idx="25">
                  <c:v>31.591304347826089</c:v>
                </c:pt>
                <c:pt idx="26">
                  <c:v>32.721739130434784</c:v>
                </c:pt>
                <c:pt idx="27">
                  <c:v>33.85217391304348</c:v>
                </c:pt>
                <c:pt idx="28">
                  <c:v>34.982608695652175</c:v>
                </c:pt>
                <c:pt idx="29">
                  <c:v>36.11304347826087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B9-46CB-B413-61A015F0D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743040"/>
        <c:axId val="396740088"/>
      </c:scatterChart>
      <c:valAx>
        <c:axId val="396740088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</a:ln>
        </c:spPr>
        <c:txPr>
          <a:bodyPr/>
          <a:lstStyle/>
          <a:p>
            <a:pPr>
              <a:defRPr sz="900" b="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396743040"/>
        <c:crossesAt val="0"/>
        <c:crossBetween val="midCat"/>
      </c:valAx>
      <c:valAx>
        <c:axId val="396743040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</a:ln>
        </c:spPr>
        <c:txPr>
          <a:bodyPr/>
          <a:lstStyle/>
          <a:p>
            <a:pPr>
              <a:defRPr sz="900" b="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396740088"/>
        <c:crossesAt val="0"/>
        <c:crossBetween val="midCat"/>
      </c:valAx>
      <c:spPr>
        <a:noFill/>
      </c:spPr>
    </c:plotArea>
    <c:plotVisOnly val="1"/>
    <c:dispBlanksAs val="gap"/>
    <c:showDLblsOverMax val="0"/>
  </c:chart>
  <c:spPr>
    <a:ln w="9360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pPr>
              <a:defRPr sz="1400" b="0" baseline="0">
                <a:solidFill>
                  <a:srgbClr val="595959"/>
                </a:solidFill>
                <a:latin typeface="Calibri"/>
              </a:defRPr>
            </a:pPr>
            <a:r>
              <a:rPr lang="bg-BG"/>
              <a:t>Y (изпъкнал)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Sheet1!$E$3:$E$3</c:f>
              <c:strCache>
                <c:ptCount val="1"/>
                <c:pt idx="0">
                  <c:v>Y (изпъкнал)</c:v>
                </c:pt>
              </c:strCache>
            </c:strRef>
          </c:tx>
          <c:spPr>
            <a:ln w="19080">
              <a:solidFill>
                <a:srgbClr val="5B9BD5"/>
              </a:solidFill>
            </a:ln>
          </c:spPr>
          <c:marker>
            <c:symbol val="circle"/>
            <c:size val="5"/>
          </c:marker>
          <c:xVal>
            <c:numRef>
              <c:f>Sheet1!$C$4:$C$33</c:f>
              <c:numCache>
                <c:formatCode>0.00</c:formatCode>
                <c:ptCount val="30"/>
                <c:pt idx="0">
                  <c:v>0.86956521739130432</c:v>
                </c:pt>
                <c:pt idx="1">
                  <c:v>1.7391304347826086</c:v>
                </c:pt>
                <c:pt idx="2">
                  <c:v>2.6086956521739131</c:v>
                </c:pt>
                <c:pt idx="3">
                  <c:v>3.4782608695652173</c:v>
                </c:pt>
                <c:pt idx="4">
                  <c:v>4.3478260869565215</c:v>
                </c:pt>
                <c:pt idx="5">
                  <c:v>5.2173913043478262</c:v>
                </c:pt>
                <c:pt idx="6">
                  <c:v>6.0869565217391308</c:v>
                </c:pt>
                <c:pt idx="7">
                  <c:v>6.9565217391304346</c:v>
                </c:pt>
                <c:pt idx="8">
                  <c:v>7.8260869565217392</c:v>
                </c:pt>
                <c:pt idx="9">
                  <c:v>8.695652173913043</c:v>
                </c:pt>
                <c:pt idx="10">
                  <c:v>9.5652173913043477</c:v>
                </c:pt>
                <c:pt idx="11">
                  <c:v>10.434782608695652</c:v>
                </c:pt>
                <c:pt idx="12">
                  <c:v>11.304347826086957</c:v>
                </c:pt>
                <c:pt idx="13">
                  <c:v>12.173913043478262</c:v>
                </c:pt>
                <c:pt idx="14">
                  <c:v>13.043478260869565</c:v>
                </c:pt>
                <c:pt idx="15">
                  <c:v>13.913043478260869</c:v>
                </c:pt>
                <c:pt idx="16">
                  <c:v>14.782608695652174</c:v>
                </c:pt>
                <c:pt idx="17">
                  <c:v>15.652173913043478</c:v>
                </c:pt>
                <c:pt idx="18">
                  <c:v>16.521739130434781</c:v>
                </c:pt>
                <c:pt idx="19">
                  <c:v>17.391304347826086</c:v>
                </c:pt>
                <c:pt idx="20">
                  <c:v>18.260869565217391</c:v>
                </c:pt>
                <c:pt idx="21">
                  <c:v>19.130434782608695</c:v>
                </c:pt>
                <c:pt idx="22">
                  <c:v>20</c:v>
                </c:pt>
                <c:pt idx="23">
                  <c:v>20.869565217391305</c:v>
                </c:pt>
                <c:pt idx="24">
                  <c:v>21.739130434782609</c:v>
                </c:pt>
                <c:pt idx="25">
                  <c:v>22.608695652173914</c:v>
                </c:pt>
                <c:pt idx="26">
                  <c:v>23.478260869565219</c:v>
                </c:pt>
                <c:pt idx="27">
                  <c:v>24.347826086956523</c:v>
                </c:pt>
                <c:pt idx="28">
                  <c:v>25.217391304347824</c:v>
                </c:pt>
                <c:pt idx="29">
                  <c:v>26.086956521739129</c:v>
                </c:pt>
              </c:numCache>
            </c:numRef>
          </c:xVal>
          <c:yVal>
            <c:numRef>
              <c:f>Sheet1!$E$4:$E$33</c:f>
              <c:numCache>
                <c:formatCode>0.00</c:formatCode>
                <c:ptCount val="30"/>
                <c:pt idx="0">
                  <c:v>-11.216216216216216</c:v>
                </c:pt>
                <c:pt idx="1">
                  <c:v>-3.5443037974683556</c:v>
                </c:pt>
                <c:pt idx="2">
                  <c:v>3.2142857142857117</c:v>
                </c:pt>
                <c:pt idx="3">
                  <c:v>9.2134831460674178</c:v>
                </c:pt>
                <c:pt idx="4">
                  <c:v>14.574468085106375</c:v>
                </c:pt>
                <c:pt idx="5">
                  <c:v>19.393939393939391</c:v>
                </c:pt>
                <c:pt idx="6">
                  <c:v>23.75</c:v>
                </c:pt>
                <c:pt idx="7">
                  <c:v>27.706422018348626</c:v>
                </c:pt>
                <c:pt idx="8">
                  <c:v>31.315789473684212</c:v>
                </c:pt>
                <c:pt idx="9">
                  <c:v>34.621848739495796</c:v>
                </c:pt>
                <c:pt idx="10">
                  <c:v>37.661290322580648</c:v>
                </c:pt>
                <c:pt idx="11">
                  <c:v>40.465116279069768</c:v>
                </c:pt>
                <c:pt idx="12">
                  <c:v>43.059701492537322</c:v>
                </c:pt>
                <c:pt idx="13">
                  <c:v>45.467625899280577</c:v>
                </c:pt>
                <c:pt idx="14">
                  <c:v>47.708333333333343</c:v>
                </c:pt>
                <c:pt idx="15">
                  <c:v>49.798657718120808</c:v>
                </c:pt>
                <c:pt idx="16">
                  <c:v>51.753246753246756</c:v>
                </c:pt>
                <c:pt idx="17">
                  <c:v>53.584905660377359</c:v>
                </c:pt>
                <c:pt idx="18">
                  <c:v>55.304878048780481</c:v>
                </c:pt>
                <c:pt idx="19">
                  <c:v>56.92307692307692</c:v>
                </c:pt>
                <c:pt idx="20">
                  <c:v>58.448275862068968</c:v>
                </c:pt>
                <c:pt idx="21">
                  <c:v>59.888268156424587</c:v>
                </c:pt>
                <c:pt idx="22">
                  <c:v>61.25</c:v>
                </c:pt>
                <c:pt idx="23">
                  <c:v>62.539682539682531</c:v>
                </c:pt>
                <c:pt idx="24">
                  <c:v>63.762886597938135</c:v>
                </c:pt>
                <c:pt idx="25">
                  <c:v>64.924623115577901</c:v>
                </c:pt>
                <c:pt idx="26">
                  <c:v>66.029411764705884</c:v>
                </c:pt>
                <c:pt idx="27">
                  <c:v>67.081339712918663</c:v>
                </c:pt>
                <c:pt idx="28">
                  <c:v>68.0841121495327</c:v>
                </c:pt>
                <c:pt idx="29">
                  <c:v>69.041095890410972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92-44FF-A9E6-5D920E837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452728"/>
        <c:axId val="320052080"/>
      </c:scatterChart>
      <c:valAx>
        <c:axId val="320052080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</a:ln>
        </c:spPr>
        <c:txPr>
          <a:bodyPr/>
          <a:lstStyle/>
          <a:p>
            <a:pPr>
              <a:defRPr sz="900" b="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320452728"/>
        <c:crossesAt val="0"/>
        <c:crossBetween val="midCat"/>
      </c:valAx>
      <c:valAx>
        <c:axId val="320452728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</a:ln>
        </c:spPr>
        <c:txPr>
          <a:bodyPr/>
          <a:lstStyle/>
          <a:p>
            <a:pPr>
              <a:defRPr sz="900" b="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320052080"/>
        <c:crossesAt val="0"/>
        <c:crossBetween val="midCat"/>
      </c:valAx>
      <c:spPr>
        <a:noFill/>
      </c:spPr>
    </c:plotArea>
    <c:plotVisOnly val="1"/>
    <c:dispBlanksAs val="gap"/>
    <c:showDLblsOverMax val="0"/>
  </c:chart>
  <c:spPr>
    <a:ln w="9360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pPr>
              <a:defRPr sz="1400" b="0" baseline="0">
                <a:solidFill>
                  <a:srgbClr val="595959"/>
                </a:solidFill>
                <a:latin typeface="Calibri"/>
              </a:defRPr>
            </a:pPr>
            <a:r>
              <a:rPr lang="bg-BG"/>
              <a:t>Y (вдлъбнат)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Sheet1!$F$3:$F$3</c:f>
              <c:strCache>
                <c:ptCount val="1"/>
                <c:pt idx="0">
                  <c:v>Y (вдлъбнат)</c:v>
                </c:pt>
              </c:strCache>
            </c:strRef>
          </c:tx>
          <c:spPr>
            <a:ln w="19080">
              <a:solidFill>
                <a:srgbClr val="5B9BD5"/>
              </a:solidFill>
            </a:ln>
          </c:spPr>
          <c:marker>
            <c:symbol val="circle"/>
            <c:size val="5"/>
          </c:marker>
          <c:xVal>
            <c:numRef>
              <c:f>Sheet1!$C$4:$C$33</c:f>
              <c:numCache>
                <c:formatCode>0.00</c:formatCode>
                <c:ptCount val="30"/>
                <c:pt idx="0">
                  <c:v>0.86956521739130432</c:v>
                </c:pt>
                <c:pt idx="1">
                  <c:v>1.7391304347826086</c:v>
                </c:pt>
                <c:pt idx="2">
                  <c:v>2.6086956521739131</c:v>
                </c:pt>
                <c:pt idx="3">
                  <c:v>3.4782608695652173</c:v>
                </c:pt>
                <c:pt idx="4">
                  <c:v>4.3478260869565215</c:v>
                </c:pt>
                <c:pt idx="5">
                  <c:v>5.2173913043478262</c:v>
                </c:pt>
                <c:pt idx="6">
                  <c:v>6.0869565217391308</c:v>
                </c:pt>
                <c:pt idx="7">
                  <c:v>6.9565217391304346</c:v>
                </c:pt>
                <c:pt idx="8">
                  <c:v>7.8260869565217392</c:v>
                </c:pt>
                <c:pt idx="9">
                  <c:v>8.695652173913043</c:v>
                </c:pt>
                <c:pt idx="10">
                  <c:v>9.5652173913043477</c:v>
                </c:pt>
                <c:pt idx="11">
                  <c:v>10.434782608695652</c:v>
                </c:pt>
                <c:pt idx="12">
                  <c:v>11.304347826086957</c:v>
                </c:pt>
                <c:pt idx="13">
                  <c:v>12.173913043478262</c:v>
                </c:pt>
                <c:pt idx="14">
                  <c:v>13.043478260869565</c:v>
                </c:pt>
                <c:pt idx="15">
                  <c:v>13.913043478260869</c:v>
                </c:pt>
                <c:pt idx="16">
                  <c:v>14.782608695652174</c:v>
                </c:pt>
                <c:pt idx="17">
                  <c:v>15.652173913043478</c:v>
                </c:pt>
                <c:pt idx="18">
                  <c:v>16.521739130434781</c:v>
                </c:pt>
                <c:pt idx="19">
                  <c:v>17.391304347826086</c:v>
                </c:pt>
                <c:pt idx="20">
                  <c:v>18.260869565217391</c:v>
                </c:pt>
                <c:pt idx="21">
                  <c:v>19.130434782608695</c:v>
                </c:pt>
                <c:pt idx="22">
                  <c:v>20</c:v>
                </c:pt>
                <c:pt idx="23">
                  <c:v>20.869565217391305</c:v>
                </c:pt>
                <c:pt idx="24">
                  <c:v>21.739130434782609</c:v>
                </c:pt>
                <c:pt idx="25">
                  <c:v>22.608695652173914</c:v>
                </c:pt>
                <c:pt idx="26">
                  <c:v>23.478260869565219</c:v>
                </c:pt>
                <c:pt idx="27">
                  <c:v>24.347826086956523</c:v>
                </c:pt>
                <c:pt idx="28">
                  <c:v>25.217391304347824</c:v>
                </c:pt>
                <c:pt idx="29">
                  <c:v>26.086956521739129</c:v>
                </c:pt>
              </c:numCache>
            </c:numRef>
          </c:xVal>
          <c:yVal>
            <c:numRef>
              <c:f>Sheet1!$F$4:$F$33</c:f>
              <c:numCache>
                <c:formatCode>0</c:formatCode>
                <c:ptCount val="30"/>
                <c:pt idx="0">
                  <c:v>0.5</c:v>
                </c:pt>
                <c:pt idx="1">
                  <c:v>1.0717734625362931</c:v>
                </c:pt>
                <c:pt idx="2">
                  <c:v>1.6741847610508569</c:v>
                </c:pt>
                <c:pt idx="3">
                  <c:v>2.2973967099940698</c:v>
                </c:pt>
                <c:pt idx="4">
                  <c:v>2.9365473577200478</c:v>
                </c:pt>
                <c:pt idx="5">
                  <c:v>3.5886935965539468</c:v>
                </c:pt>
                <c:pt idx="6">
                  <c:v>4.2518491541367354</c:v>
                </c:pt>
                <c:pt idx="7">
                  <c:v>4.9245776533796644</c:v>
                </c:pt>
                <c:pt idx="8">
                  <c:v>5.6057892282698294</c:v>
                </c:pt>
                <c:pt idx="9">
                  <c:v>6.29462705897084</c:v>
                </c:pt>
                <c:pt idx="10">
                  <c:v>6.9903988836557751</c:v>
                </c:pt>
                <c:pt idx="11">
                  <c:v>7.6925331239208958</c:v>
                </c:pt>
                <c:pt idx="12">
                  <c:v>8.4005494350754084</c:v>
                </c:pt>
                <c:pt idx="13">
                  <c:v>9.1140381802222734</c:v>
                </c:pt>
                <c:pt idx="14">
                  <c:v>9.832645672798126</c:v>
                </c:pt>
                <c:pt idx="15">
                  <c:v>10.556063286183154</c:v>
                </c:pt>
                <c:pt idx="16">
                  <c:v>11.284019236552416</c:v>
                </c:pt>
                <c:pt idx="17">
                  <c:v>12.016272262862817</c:v>
                </c:pt>
                <c:pt idx="18">
                  <c:v>12.752606684139998</c:v>
                </c:pt>
                <c:pt idx="19">
                  <c:v>13.492828476735637</c:v>
                </c:pt>
                <c:pt idx="20">
                  <c:v>14.236762120285396</c:v>
                </c:pt>
                <c:pt idx="21">
                  <c:v>14.984248032091179</c:v>
                </c:pt>
                <c:pt idx="22">
                  <c:v>15.735140458250765</c:v>
                </c:pt>
                <c:pt idx="23">
                  <c:v>16.489305723799653</c:v>
                </c:pt>
                <c:pt idx="24">
                  <c:v>17.246620768265188</c:v>
                </c:pt>
                <c:pt idx="25">
                  <c:v>18.006971910476146</c:v>
                </c:pt>
                <c:pt idx="26">
                  <c:v>18.770253799264786</c:v>
                </c:pt>
                <c:pt idx="27">
                  <c:v>19.536368516209606</c:v>
                </c:pt>
                <c:pt idx="28">
                  <c:v>20.305224803725249</c:v>
                </c:pt>
                <c:pt idx="29">
                  <c:v>21.0767373972547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61-4E00-909F-8E2966110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737464"/>
        <c:axId val="396736808"/>
      </c:scatterChart>
      <c:valAx>
        <c:axId val="396736808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</a:ln>
        </c:spPr>
        <c:txPr>
          <a:bodyPr/>
          <a:lstStyle/>
          <a:p>
            <a:pPr>
              <a:defRPr sz="900" b="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396737464"/>
        <c:crossesAt val="0"/>
        <c:crossBetween val="midCat"/>
      </c:valAx>
      <c:valAx>
        <c:axId val="396737464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</a:ln>
        </c:spPr>
        <c:txPr>
          <a:bodyPr/>
          <a:lstStyle/>
          <a:p>
            <a:pPr>
              <a:defRPr sz="900" b="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396736808"/>
        <c:crossesAt val="0"/>
        <c:crossBetween val="midCat"/>
      </c:valAx>
      <c:spPr>
        <a:noFill/>
      </c:spPr>
    </c:plotArea>
    <c:plotVisOnly val="1"/>
    <c:dispBlanksAs val="gap"/>
    <c:showDLblsOverMax val="0"/>
  </c:chart>
  <c:spPr>
    <a:ln w="9360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Sheet2!$B$4:$B$103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Sheet2!$C$4:$C$103</c:f>
              <c:numCache>
                <c:formatCode>0</c:formatCode>
                <c:ptCount val="100"/>
                <c:pt idx="0">
                  <c:v>0</c:v>
                </c:pt>
                <c:pt idx="1">
                  <c:v>0.31578947368421051</c:v>
                </c:pt>
                <c:pt idx="2">
                  <c:v>0.63157894736842102</c:v>
                </c:pt>
                <c:pt idx="3">
                  <c:v>0.94736842105263153</c:v>
                </c:pt>
                <c:pt idx="4">
                  <c:v>1.263157894736842</c:v>
                </c:pt>
                <c:pt idx="5">
                  <c:v>1.5789473684210527</c:v>
                </c:pt>
                <c:pt idx="6">
                  <c:v>1.8947368421052631</c:v>
                </c:pt>
                <c:pt idx="7">
                  <c:v>2.2105263157894735</c:v>
                </c:pt>
                <c:pt idx="8">
                  <c:v>2.5263157894736841</c:v>
                </c:pt>
                <c:pt idx="9">
                  <c:v>2.8421052631578947</c:v>
                </c:pt>
                <c:pt idx="10">
                  <c:v>3.1578947368421053</c:v>
                </c:pt>
                <c:pt idx="11">
                  <c:v>3.4736842105263155</c:v>
                </c:pt>
                <c:pt idx="12">
                  <c:v>3.7894736842105261</c:v>
                </c:pt>
                <c:pt idx="13">
                  <c:v>4.1052631578947363</c:v>
                </c:pt>
                <c:pt idx="14">
                  <c:v>4.4210526315789469</c:v>
                </c:pt>
                <c:pt idx="15">
                  <c:v>4.7368421052631575</c:v>
                </c:pt>
                <c:pt idx="16">
                  <c:v>5.0526315789473681</c:v>
                </c:pt>
                <c:pt idx="17">
                  <c:v>5.3684210526315788</c:v>
                </c:pt>
                <c:pt idx="18">
                  <c:v>5.6842105263157894</c:v>
                </c:pt>
                <c:pt idx="19">
                  <c:v>6</c:v>
                </c:pt>
                <c:pt idx="20">
                  <c:v>6.1</c:v>
                </c:pt>
                <c:pt idx="21">
                  <c:v>6.2</c:v>
                </c:pt>
                <c:pt idx="22">
                  <c:v>6.3</c:v>
                </c:pt>
                <c:pt idx="23">
                  <c:v>6.4</c:v>
                </c:pt>
                <c:pt idx="24">
                  <c:v>6.5</c:v>
                </c:pt>
                <c:pt idx="25">
                  <c:v>6.6</c:v>
                </c:pt>
                <c:pt idx="26">
                  <c:v>6.7</c:v>
                </c:pt>
                <c:pt idx="27">
                  <c:v>6.8</c:v>
                </c:pt>
                <c:pt idx="28">
                  <c:v>6.9</c:v>
                </c:pt>
                <c:pt idx="29">
                  <c:v>7</c:v>
                </c:pt>
                <c:pt idx="30">
                  <c:v>7.1</c:v>
                </c:pt>
                <c:pt idx="31">
                  <c:v>7.2</c:v>
                </c:pt>
                <c:pt idx="32">
                  <c:v>7.3</c:v>
                </c:pt>
                <c:pt idx="33">
                  <c:v>7.4</c:v>
                </c:pt>
                <c:pt idx="34">
                  <c:v>7.5</c:v>
                </c:pt>
                <c:pt idx="35">
                  <c:v>7.6</c:v>
                </c:pt>
                <c:pt idx="36">
                  <c:v>7.7</c:v>
                </c:pt>
                <c:pt idx="37">
                  <c:v>7.8</c:v>
                </c:pt>
                <c:pt idx="38">
                  <c:v>7.9</c:v>
                </c:pt>
                <c:pt idx="39">
                  <c:v>8</c:v>
                </c:pt>
                <c:pt idx="40">
                  <c:v>8.1</c:v>
                </c:pt>
                <c:pt idx="41">
                  <c:v>8.1999999999999993</c:v>
                </c:pt>
                <c:pt idx="42">
                  <c:v>8.3000000000000007</c:v>
                </c:pt>
                <c:pt idx="43">
                  <c:v>8.4</c:v>
                </c:pt>
                <c:pt idx="44">
                  <c:v>8.5</c:v>
                </c:pt>
                <c:pt idx="45">
                  <c:v>8.6</c:v>
                </c:pt>
                <c:pt idx="46">
                  <c:v>8.6999999999999993</c:v>
                </c:pt>
                <c:pt idx="47">
                  <c:v>8.8000000000000007</c:v>
                </c:pt>
                <c:pt idx="48">
                  <c:v>8.9</c:v>
                </c:pt>
                <c:pt idx="49">
                  <c:v>9</c:v>
                </c:pt>
                <c:pt idx="50">
                  <c:v>9.5250000000000004</c:v>
                </c:pt>
                <c:pt idx="51">
                  <c:v>10.050000000000001</c:v>
                </c:pt>
                <c:pt idx="52">
                  <c:v>10.574999999999999</c:v>
                </c:pt>
                <c:pt idx="53">
                  <c:v>11.1</c:v>
                </c:pt>
                <c:pt idx="54">
                  <c:v>11.625</c:v>
                </c:pt>
                <c:pt idx="55">
                  <c:v>12.15</c:v>
                </c:pt>
                <c:pt idx="56">
                  <c:v>12.675000000000001</c:v>
                </c:pt>
                <c:pt idx="57">
                  <c:v>13.2</c:v>
                </c:pt>
                <c:pt idx="58">
                  <c:v>13.725000000000001</c:v>
                </c:pt>
                <c:pt idx="59">
                  <c:v>14.25</c:v>
                </c:pt>
                <c:pt idx="60">
                  <c:v>14.775</c:v>
                </c:pt>
                <c:pt idx="61">
                  <c:v>15.3</c:v>
                </c:pt>
                <c:pt idx="62">
                  <c:v>15.824999999999999</c:v>
                </c:pt>
                <c:pt idx="63">
                  <c:v>16.350000000000001</c:v>
                </c:pt>
                <c:pt idx="64">
                  <c:v>16.875</c:v>
                </c:pt>
                <c:pt idx="65">
                  <c:v>17.399999999999999</c:v>
                </c:pt>
                <c:pt idx="66">
                  <c:v>17.925000000000001</c:v>
                </c:pt>
                <c:pt idx="67">
                  <c:v>18.450000000000003</c:v>
                </c:pt>
                <c:pt idx="68">
                  <c:v>18.975000000000001</c:v>
                </c:pt>
                <c:pt idx="69">
                  <c:v>19.5</c:v>
                </c:pt>
                <c:pt idx="70">
                  <c:v>20.024999999999999</c:v>
                </c:pt>
                <c:pt idx="71">
                  <c:v>20.55</c:v>
                </c:pt>
                <c:pt idx="72">
                  <c:v>21.075000000000003</c:v>
                </c:pt>
                <c:pt idx="73">
                  <c:v>21.6</c:v>
                </c:pt>
                <c:pt idx="74">
                  <c:v>22.125</c:v>
                </c:pt>
                <c:pt idx="75">
                  <c:v>22.65</c:v>
                </c:pt>
                <c:pt idx="76">
                  <c:v>23.175000000000001</c:v>
                </c:pt>
                <c:pt idx="77">
                  <c:v>23.700000000000003</c:v>
                </c:pt>
                <c:pt idx="78">
                  <c:v>24.225000000000001</c:v>
                </c:pt>
                <c:pt idx="79">
                  <c:v>24.75</c:v>
                </c:pt>
                <c:pt idx="80">
                  <c:v>25.275000000000002</c:v>
                </c:pt>
                <c:pt idx="81">
                  <c:v>25.8</c:v>
                </c:pt>
                <c:pt idx="82">
                  <c:v>26.324999999999999</c:v>
                </c:pt>
                <c:pt idx="83">
                  <c:v>26.85</c:v>
                </c:pt>
                <c:pt idx="84">
                  <c:v>27.375</c:v>
                </c:pt>
                <c:pt idx="85">
                  <c:v>27.900000000000002</c:v>
                </c:pt>
                <c:pt idx="86">
                  <c:v>28.425000000000001</c:v>
                </c:pt>
                <c:pt idx="87">
                  <c:v>28.95</c:v>
                </c:pt>
                <c:pt idx="88">
                  <c:v>29.475000000000001</c:v>
                </c:pt>
                <c:pt idx="89">
                  <c:v>30</c:v>
                </c:pt>
                <c:pt idx="90">
                  <c:v>33.4</c:v>
                </c:pt>
                <c:pt idx="91">
                  <c:v>36.799999999999997</c:v>
                </c:pt>
                <c:pt idx="92">
                  <c:v>40.200000000000003</c:v>
                </c:pt>
                <c:pt idx="93">
                  <c:v>43.6</c:v>
                </c:pt>
                <c:pt idx="94">
                  <c:v>47</c:v>
                </c:pt>
                <c:pt idx="95">
                  <c:v>50.4</c:v>
                </c:pt>
                <c:pt idx="96">
                  <c:v>53.8</c:v>
                </c:pt>
                <c:pt idx="97">
                  <c:v>57.2</c:v>
                </c:pt>
                <c:pt idx="98">
                  <c:v>60.599999999999994</c:v>
                </c:pt>
                <c:pt idx="99">
                  <c:v>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F-4FE4-ADA2-49B21EB2D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999456"/>
        <c:axId val="573003064"/>
      </c:scatterChart>
      <c:valAx>
        <c:axId val="57299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03064"/>
        <c:crosses val="autoZero"/>
        <c:crossBetween val="midCat"/>
      </c:valAx>
      <c:valAx>
        <c:axId val="57300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99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image" Target="../media/image2.png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25560</xdr:colOff>
      <xdr:row>18</xdr:row>
      <xdr:rowOff>152280</xdr:rowOff>
    </xdr:from>
    <xdr:ext cx="561600" cy="230040"/>
    <xdr:pic>
      <xdr:nvPicPr>
        <xdr:cNvPr id="6" name="Picture 4">
          <a:extLst>
            <a:ext uri="{FF2B5EF4-FFF2-40B4-BE49-F238E27FC236}">
              <a16:creationId xmlns:a16="http://schemas.microsoft.com/office/drawing/2014/main" id="{38129A38-9C57-4566-88F5-BC6B25E3B1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5245260" y="4076580"/>
          <a:ext cx="561600" cy="23004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6</xdr:col>
      <xdr:colOff>15840</xdr:colOff>
      <xdr:row>8</xdr:row>
      <xdr:rowOff>14400</xdr:rowOff>
    </xdr:from>
    <xdr:ext cx="4651559" cy="2614680"/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6EC6BA3B-2E7F-458C-BD2C-9F3A2E6061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10</xdr:col>
      <xdr:colOff>301680</xdr:colOff>
      <xdr:row>2</xdr:row>
      <xdr:rowOff>720</xdr:rowOff>
    </xdr:from>
    <xdr:ext cx="4523400" cy="2572560"/>
    <xdr:graphicFrame macro="">
      <xdr:nvGraphicFramePr>
        <xdr:cNvPr id="3" name="Chart 6">
          <a:extLst>
            <a:ext uri="{FF2B5EF4-FFF2-40B4-BE49-F238E27FC236}">
              <a16:creationId xmlns:a16="http://schemas.microsoft.com/office/drawing/2014/main" id="{3D159038-CB71-4B1C-95E5-6957EE516D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384120</xdr:colOff>
      <xdr:row>8</xdr:row>
      <xdr:rowOff>65160</xdr:rowOff>
    </xdr:from>
    <xdr:ext cx="4515480" cy="2607840"/>
    <xdr:graphicFrame macro="">
      <xdr:nvGraphicFramePr>
        <xdr:cNvPr id="5" name="Chart 7">
          <a:extLst>
            <a:ext uri="{FF2B5EF4-FFF2-40B4-BE49-F238E27FC236}">
              <a16:creationId xmlns:a16="http://schemas.microsoft.com/office/drawing/2014/main" id="{DF1CD7F3-55B7-4995-8061-83DCFA68D8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6</xdr:col>
      <xdr:colOff>19080</xdr:colOff>
      <xdr:row>1</xdr:row>
      <xdr:rowOff>84960</xdr:rowOff>
    </xdr:from>
    <xdr:ext cx="908280" cy="200880"/>
    <xdr:pic>
      <xdr:nvPicPr>
        <xdr:cNvPr id="2" name="Picture 9">
          <a:extLst>
            <a:ext uri="{FF2B5EF4-FFF2-40B4-BE49-F238E27FC236}">
              <a16:creationId xmlns:a16="http://schemas.microsoft.com/office/drawing/2014/main" id="{EF263D8B-48D5-43C0-8770-486C65569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lum/>
          <a:alphaModFix/>
        </a:blip>
        <a:srcRect/>
        <a:stretch>
          <a:fillRect/>
        </a:stretch>
      </xdr:blipFill>
      <xdr:spPr>
        <a:xfrm>
          <a:off x="3905280" y="275460"/>
          <a:ext cx="908280" cy="200880"/>
        </a:xfrm>
        <a:prstGeom prst="rect">
          <a:avLst/>
        </a:prstGeom>
        <a:solidFill>
          <a:srgbClr val="DEEBF7"/>
        </a:solidFill>
        <a:ln>
          <a:noFill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490537</xdr:colOff>
      <xdr:row>8</xdr:row>
      <xdr:rowOff>161925</xdr:rowOff>
    </xdr:from>
    <xdr:to>
      <xdr:col>13</xdr:col>
      <xdr:colOff>185737</xdr:colOff>
      <xdr:row>23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A92F7D-A7A6-47B3-9D49-70C63D91A4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8"/>
  <sheetViews>
    <sheetView workbookViewId="0"/>
  </sheetViews>
  <sheetFormatPr defaultRowHeight="15" x14ac:dyDescent="0.25"/>
  <cols>
    <col min="1" max="3" width="9" customWidth="1"/>
    <col min="4" max="4" width="9.28515625" style="19" customWidth="1"/>
    <col min="5" max="5" width="10.85546875" style="19" customWidth="1"/>
    <col min="6" max="6" width="11.140625" style="20" customWidth="1"/>
    <col min="7" max="7" width="11" customWidth="1"/>
    <col min="8" max="1024" width="9" customWidth="1"/>
  </cols>
  <sheetData>
    <row r="1" spans="1:12" x14ac:dyDescent="0.25">
      <c r="B1" s="1" t="s">
        <v>0</v>
      </c>
      <c r="C1" s="2">
        <v>101</v>
      </c>
      <c r="D1" s="3" t="s">
        <v>1</v>
      </c>
      <c r="E1" s="4" t="s">
        <v>2</v>
      </c>
      <c r="F1" s="5">
        <v>1.3</v>
      </c>
      <c r="G1" s="6" t="s">
        <v>3</v>
      </c>
      <c r="H1" s="7" t="s">
        <v>4</v>
      </c>
      <c r="I1" s="8">
        <v>130</v>
      </c>
      <c r="J1" s="9" t="s">
        <v>5</v>
      </c>
      <c r="K1" s="10" t="s">
        <v>6</v>
      </c>
      <c r="L1" s="11">
        <v>1.1000000000000001</v>
      </c>
    </row>
    <row r="2" spans="1:12" ht="24.4" customHeight="1" x14ac:dyDescent="0.25">
      <c r="B2" s="1" t="s">
        <v>7</v>
      </c>
      <c r="C2" s="2">
        <v>1</v>
      </c>
      <c r="D2" s="12" t="s">
        <v>8</v>
      </c>
      <c r="E2" s="4" t="s">
        <v>9</v>
      </c>
      <c r="F2" s="5">
        <v>2.2000000000000002</v>
      </c>
      <c r="G2" s="13"/>
      <c r="H2" s="7" t="s">
        <v>10</v>
      </c>
      <c r="I2" s="8">
        <v>12</v>
      </c>
      <c r="J2" s="14" t="s">
        <v>11</v>
      </c>
      <c r="K2" s="10" t="s">
        <v>12</v>
      </c>
      <c r="L2" s="11">
        <v>2</v>
      </c>
    </row>
    <row r="3" spans="1:12" s="15" customFormat="1" ht="45" x14ac:dyDescent="0.25">
      <c r="B3" s="15" t="s">
        <v>13</v>
      </c>
      <c r="C3" s="15" t="s">
        <v>14</v>
      </c>
      <c r="D3" s="16" t="s">
        <v>15</v>
      </c>
      <c r="E3" s="16" t="s">
        <v>16</v>
      </c>
      <c r="F3" s="17" t="s">
        <v>17</v>
      </c>
      <c r="H3" s="18" t="s">
        <v>18</v>
      </c>
      <c r="I3" s="18">
        <v>20</v>
      </c>
    </row>
    <row r="4" spans="1:12" x14ac:dyDescent="0.25">
      <c r="A4">
        <f t="shared" ref="A4:A35" si="0">((B4+5)^$L$1)/$L$2</f>
        <v>3.5886935965539468</v>
      </c>
      <c r="B4">
        <v>1</v>
      </c>
      <c r="C4" s="19">
        <f t="shared" ref="C4:C33" si="1">B4*($C$1-$C$2)/COUNT(B:B)</f>
        <v>0.86956521739130432</v>
      </c>
      <c r="D4" s="19">
        <f t="shared" ref="D4:D33" si="2">$F$1*C4+$F$2</f>
        <v>3.3304347826086955</v>
      </c>
      <c r="E4" s="19">
        <f t="shared" ref="E4:E33" si="3">$I$1*C4/($I$2+C4)-$I$3</f>
        <v>-11.216216216216216</v>
      </c>
      <c r="F4" s="20">
        <f t="shared" ref="F4:F35" si="4">(B4^$L$1)/$L$2</f>
        <v>0.5</v>
      </c>
    </row>
    <row r="5" spans="1:12" x14ac:dyDescent="0.25">
      <c r="A5">
        <f t="shared" si="0"/>
        <v>4.2518491541367354</v>
      </c>
      <c r="B5">
        <v>2</v>
      </c>
      <c r="C5" s="19">
        <f t="shared" si="1"/>
        <v>1.7391304347826086</v>
      </c>
      <c r="D5" s="19">
        <f t="shared" si="2"/>
        <v>4.4608695652173918</v>
      </c>
      <c r="E5" s="19">
        <f t="shared" si="3"/>
        <v>-3.5443037974683556</v>
      </c>
      <c r="F5" s="20">
        <f t="shared" si="4"/>
        <v>1.0717734625362931</v>
      </c>
    </row>
    <row r="6" spans="1:12" x14ac:dyDescent="0.25">
      <c r="A6">
        <f t="shared" si="0"/>
        <v>4.9245776533796644</v>
      </c>
      <c r="B6">
        <v>3</v>
      </c>
      <c r="C6" s="19">
        <f t="shared" si="1"/>
        <v>2.6086956521739131</v>
      </c>
      <c r="D6" s="19">
        <f t="shared" si="2"/>
        <v>5.5913043478260871</v>
      </c>
      <c r="E6" s="19">
        <f t="shared" si="3"/>
        <v>3.2142857142857117</v>
      </c>
      <c r="F6" s="20">
        <f t="shared" si="4"/>
        <v>1.6741847610508569</v>
      </c>
    </row>
    <row r="7" spans="1:12" x14ac:dyDescent="0.25">
      <c r="A7">
        <f t="shared" si="0"/>
        <v>5.6057892282698294</v>
      </c>
      <c r="B7">
        <v>4</v>
      </c>
      <c r="C7" s="19">
        <f t="shared" si="1"/>
        <v>3.4782608695652173</v>
      </c>
      <c r="D7" s="19">
        <f t="shared" si="2"/>
        <v>6.7217391304347824</v>
      </c>
      <c r="E7" s="19">
        <f t="shared" si="3"/>
        <v>9.2134831460674178</v>
      </c>
      <c r="F7" s="20">
        <f t="shared" si="4"/>
        <v>2.2973967099940698</v>
      </c>
    </row>
    <row r="8" spans="1:12" x14ac:dyDescent="0.25">
      <c r="A8">
        <f t="shared" si="0"/>
        <v>6.29462705897084</v>
      </c>
      <c r="B8">
        <v>5</v>
      </c>
      <c r="C8" s="19">
        <f t="shared" si="1"/>
        <v>4.3478260869565215</v>
      </c>
      <c r="D8" s="19">
        <f t="shared" si="2"/>
        <v>7.8521739130434787</v>
      </c>
      <c r="E8" s="19">
        <f t="shared" si="3"/>
        <v>14.574468085106375</v>
      </c>
      <c r="F8" s="20">
        <f t="shared" si="4"/>
        <v>2.9365473577200478</v>
      </c>
    </row>
    <row r="9" spans="1:12" x14ac:dyDescent="0.25">
      <c r="A9">
        <f t="shared" si="0"/>
        <v>6.9903988836557751</v>
      </c>
      <c r="B9">
        <v>6</v>
      </c>
      <c r="C9" s="19">
        <f t="shared" si="1"/>
        <v>5.2173913043478262</v>
      </c>
      <c r="D9" s="19">
        <f t="shared" si="2"/>
        <v>8.9826086956521749</v>
      </c>
      <c r="E9" s="19">
        <f t="shared" si="3"/>
        <v>19.393939393939391</v>
      </c>
      <c r="F9" s="20">
        <f t="shared" si="4"/>
        <v>3.5886935965539468</v>
      </c>
    </row>
    <row r="10" spans="1:12" x14ac:dyDescent="0.25">
      <c r="A10">
        <f t="shared" si="0"/>
        <v>7.6925331239208958</v>
      </c>
      <c r="B10">
        <v>7</v>
      </c>
      <c r="C10" s="19">
        <f t="shared" si="1"/>
        <v>6.0869565217391308</v>
      </c>
      <c r="D10" s="19">
        <f t="shared" si="2"/>
        <v>10.11304347826087</v>
      </c>
      <c r="E10" s="19">
        <f t="shared" si="3"/>
        <v>23.75</v>
      </c>
      <c r="F10" s="20">
        <f t="shared" si="4"/>
        <v>4.2518491541367354</v>
      </c>
    </row>
    <row r="11" spans="1:12" x14ac:dyDescent="0.25">
      <c r="A11">
        <f t="shared" si="0"/>
        <v>8.4005494350754084</v>
      </c>
      <c r="B11">
        <v>8</v>
      </c>
      <c r="C11" s="19">
        <f t="shared" si="1"/>
        <v>6.9565217391304346</v>
      </c>
      <c r="D11" s="19">
        <f t="shared" si="2"/>
        <v>11.243478260869566</v>
      </c>
      <c r="E11" s="19">
        <f t="shared" si="3"/>
        <v>27.706422018348626</v>
      </c>
      <c r="F11" s="20">
        <f t="shared" si="4"/>
        <v>4.9245776533796644</v>
      </c>
    </row>
    <row r="12" spans="1:12" x14ac:dyDescent="0.25">
      <c r="A12">
        <f t="shared" si="0"/>
        <v>9.1140381802222734</v>
      </c>
      <c r="B12">
        <v>9</v>
      </c>
      <c r="C12" s="19">
        <f t="shared" si="1"/>
        <v>7.8260869565217392</v>
      </c>
      <c r="D12" s="19">
        <f t="shared" si="2"/>
        <v>12.373913043478261</v>
      </c>
      <c r="E12" s="19">
        <f t="shared" si="3"/>
        <v>31.315789473684212</v>
      </c>
      <c r="F12" s="20">
        <f t="shared" si="4"/>
        <v>5.6057892282698294</v>
      </c>
    </row>
    <row r="13" spans="1:12" x14ac:dyDescent="0.25">
      <c r="A13">
        <f t="shared" si="0"/>
        <v>9.832645672798126</v>
      </c>
      <c r="B13">
        <v>10</v>
      </c>
      <c r="C13" s="19">
        <f t="shared" si="1"/>
        <v>8.695652173913043</v>
      </c>
      <c r="D13" s="19">
        <f t="shared" si="2"/>
        <v>13.504347826086956</v>
      </c>
      <c r="E13" s="19">
        <f t="shared" si="3"/>
        <v>34.621848739495796</v>
      </c>
      <c r="F13" s="20">
        <f t="shared" si="4"/>
        <v>6.29462705897084</v>
      </c>
    </row>
    <row r="14" spans="1:12" x14ac:dyDescent="0.25">
      <c r="A14">
        <f t="shared" si="0"/>
        <v>10.556063286183154</v>
      </c>
      <c r="B14">
        <v>11</v>
      </c>
      <c r="C14" s="19">
        <f t="shared" si="1"/>
        <v>9.5652173913043477</v>
      </c>
      <c r="D14" s="19">
        <f t="shared" si="2"/>
        <v>14.634782608695652</v>
      </c>
      <c r="E14" s="19">
        <f t="shared" si="3"/>
        <v>37.661290322580648</v>
      </c>
      <c r="F14" s="20">
        <f t="shared" si="4"/>
        <v>6.9903988836557751</v>
      </c>
    </row>
    <row r="15" spans="1:12" x14ac:dyDescent="0.25">
      <c r="A15">
        <f t="shared" si="0"/>
        <v>11.284019236552416</v>
      </c>
      <c r="B15">
        <v>12</v>
      </c>
      <c r="C15" s="19">
        <f t="shared" si="1"/>
        <v>10.434782608695652</v>
      </c>
      <c r="D15" s="19">
        <f t="shared" si="2"/>
        <v>15.765217391304347</v>
      </c>
      <c r="E15" s="19">
        <f t="shared" si="3"/>
        <v>40.465116279069768</v>
      </c>
      <c r="F15" s="20">
        <f t="shared" si="4"/>
        <v>7.6925331239208958</v>
      </c>
    </row>
    <row r="16" spans="1:12" x14ac:dyDescent="0.25">
      <c r="A16">
        <f t="shared" si="0"/>
        <v>12.016272262862817</v>
      </c>
      <c r="B16">
        <v>13</v>
      </c>
      <c r="C16" s="19">
        <f t="shared" si="1"/>
        <v>11.304347826086957</v>
      </c>
      <c r="D16" s="19">
        <f t="shared" si="2"/>
        <v>16.895652173913046</v>
      </c>
      <c r="E16" s="19">
        <f t="shared" si="3"/>
        <v>43.059701492537322</v>
      </c>
      <c r="F16" s="20">
        <f t="shared" si="4"/>
        <v>8.4005494350754084</v>
      </c>
    </row>
    <row r="17" spans="1:6" x14ac:dyDescent="0.25">
      <c r="A17">
        <f t="shared" si="0"/>
        <v>12.752606684139998</v>
      </c>
      <c r="B17">
        <v>14</v>
      </c>
      <c r="C17" s="19">
        <f t="shared" si="1"/>
        <v>12.173913043478262</v>
      </c>
      <c r="D17" s="19">
        <f t="shared" si="2"/>
        <v>18.026086956521741</v>
      </c>
      <c r="E17" s="19">
        <f t="shared" si="3"/>
        <v>45.467625899280577</v>
      </c>
      <c r="F17" s="20">
        <f t="shared" si="4"/>
        <v>9.1140381802222734</v>
      </c>
    </row>
    <row r="18" spans="1:6" x14ac:dyDescent="0.25">
      <c r="A18">
        <f t="shared" si="0"/>
        <v>13.492828476735637</v>
      </c>
      <c r="B18">
        <v>15</v>
      </c>
      <c r="C18" s="19">
        <f t="shared" si="1"/>
        <v>13.043478260869565</v>
      </c>
      <c r="D18" s="19">
        <f t="shared" si="2"/>
        <v>19.156521739130433</v>
      </c>
      <c r="E18" s="19">
        <f t="shared" si="3"/>
        <v>47.708333333333343</v>
      </c>
      <c r="F18" s="20">
        <f t="shared" si="4"/>
        <v>9.832645672798126</v>
      </c>
    </row>
    <row r="19" spans="1:6" x14ac:dyDescent="0.25">
      <c r="A19">
        <f t="shared" si="0"/>
        <v>14.236762120285396</v>
      </c>
      <c r="B19">
        <v>16</v>
      </c>
      <c r="C19" s="19">
        <f t="shared" si="1"/>
        <v>13.913043478260869</v>
      </c>
      <c r="D19" s="19">
        <f t="shared" si="2"/>
        <v>20.286956521739128</v>
      </c>
      <c r="E19" s="19">
        <f t="shared" si="3"/>
        <v>49.798657718120808</v>
      </c>
      <c r="F19" s="20">
        <f t="shared" si="4"/>
        <v>10.556063286183154</v>
      </c>
    </row>
    <row r="20" spans="1:6" x14ac:dyDescent="0.25">
      <c r="A20">
        <f t="shared" si="0"/>
        <v>14.984248032091179</v>
      </c>
      <c r="B20">
        <v>17</v>
      </c>
      <c r="C20" s="19">
        <f t="shared" si="1"/>
        <v>14.782608695652174</v>
      </c>
      <c r="D20" s="19">
        <f t="shared" si="2"/>
        <v>21.417391304347827</v>
      </c>
      <c r="E20" s="19">
        <f t="shared" si="3"/>
        <v>51.753246753246756</v>
      </c>
      <c r="F20" s="20">
        <f t="shared" si="4"/>
        <v>11.284019236552416</v>
      </c>
    </row>
    <row r="21" spans="1:6" x14ac:dyDescent="0.25">
      <c r="A21">
        <f t="shared" si="0"/>
        <v>15.735140458250765</v>
      </c>
      <c r="B21">
        <v>18</v>
      </c>
      <c r="C21" s="19">
        <f t="shared" si="1"/>
        <v>15.652173913043478</v>
      </c>
      <c r="D21" s="19">
        <f t="shared" si="2"/>
        <v>22.547826086956523</v>
      </c>
      <c r="E21" s="19">
        <f t="shared" si="3"/>
        <v>53.584905660377359</v>
      </c>
      <c r="F21" s="20">
        <f t="shared" si="4"/>
        <v>12.016272262862817</v>
      </c>
    </row>
    <row r="22" spans="1:6" x14ac:dyDescent="0.25">
      <c r="A22">
        <f t="shared" si="0"/>
        <v>16.489305723799653</v>
      </c>
      <c r="B22">
        <v>19</v>
      </c>
      <c r="C22" s="19">
        <f t="shared" si="1"/>
        <v>16.521739130434781</v>
      </c>
      <c r="D22" s="19">
        <f t="shared" si="2"/>
        <v>23.678260869565214</v>
      </c>
      <c r="E22" s="19">
        <f t="shared" si="3"/>
        <v>55.304878048780481</v>
      </c>
      <c r="F22" s="20">
        <f t="shared" si="4"/>
        <v>12.752606684139998</v>
      </c>
    </row>
    <row r="23" spans="1:6" x14ac:dyDescent="0.25">
      <c r="A23">
        <f t="shared" si="0"/>
        <v>17.246620768265188</v>
      </c>
      <c r="B23">
        <v>20</v>
      </c>
      <c r="C23" s="19">
        <f t="shared" si="1"/>
        <v>17.391304347826086</v>
      </c>
      <c r="D23" s="19">
        <f t="shared" si="2"/>
        <v>24.808695652173913</v>
      </c>
      <c r="E23" s="19">
        <f t="shared" si="3"/>
        <v>56.92307692307692</v>
      </c>
      <c r="F23" s="20">
        <f t="shared" si="4"/>
        <v>13.492828476735637</v>
      </c>
    </row>
    <row r="24" spans="1:6" x14ac:dyDescent="0.25">
      <c r="A24">
        <f t="shared" si="0"/>
        <v>18.006971910476146</v>
      </c>
      <c r="B24">
        <v>21</v>
      </c>
      <c r="C24" s="19">
        <f t="shared" si="1"/>
        <v>18.260869565217391</v>
      </c>
      <c r="D24" s="19">
        <f t="shared" si="2"/>
        <v>25.939130434782609</v>
      </c>
      <c r="E24" s="19">
        <f t="shared" si="3"/>
        <v>58.448275862068968</v>
      </c>
      <c r="F24" s="20">
        <f t="shared" si="4"/>
        <v>14.236762120285396</v>
      </c>
    </row>
    <row r="25" spans="1:6" x14ac:dyDescent="0.25">
      <c r="A25">
        <f t="shared" si="0"/>
        <v>18.770253799264786</v>
      </c>
      <c r="B25">
        <v>22</v>
      </c>
      <c r="C25" s="19">
        <f t="shared" si="1"/>
        <v>19.130434782608695</v>
      </c>
      <c r="D25" s="19">
        <f t="shared" si="2"/>
        <v>27.069565217391304</v>
      </c>
      <c r="E25" s="19">
        <f t="shared" si="3"/>
        <v>59.888268156424587</v>
      </c>
      <c r="F25" s="20">
        <f t="shared" si="4"/>
        <v>14.984248032091179</v>
      </c>
    </row>
    <row r="26" spans="1:6" x14ac:dyDescent="0.25">
      <c r="A26">
        <f t="shared" si="0"/>
        <v>19.536368516209606</v>
      </c>
      <c r="B26">
        <v>23</v>
      </c>
      <c r="C26" s="19">
        <f t="shared" si="1"/>
        <v>20</v>
      </c>
      <c r="D26" s="19">
        <f t="shared" si="2"/>
        <v>28.2</v>
      </c>
      <c r="E26" s="19">
        <f t="shared" si="3"/>
        <v>61.25</v>
      </c>
      <c r="F26" s="20">
        <f t="shared" si="4"/>
        <v>15.735140458250765</v>
      </c>
    </row>
    <row r="27" spans="1:6" x14ac:dyDescent="0.25">
      <c r="A27">
        <f t="shared" si="0"/>
        <v>20.305224803725249</v>
      </c>
      <c r="B27">
        <v>24</v>
      </c>
      <c r="C27" s="19">
        <f t="shared" si="1"/>
        <v>20.869565217391305</v>
      </c>
      <c r="D27" s="19">
        <f t="shared" si="2"/>
        <v>29.330434782608695</v>
      </c>
      <c r="E27" s="19">
        <f t="shared" si="3"/>
        <v>62.539682539682531</v>
      </c>
      <c r="F27" s="20">
        <f t="shared" si="4"/>
        <v>16.489305723799653</v>
      </c>
    </row>
    <row r="28" spans="1:6" x14ac:dyDescent="0.25">
      <c r="A28">
        <f t="shared" si="0"/>
        <v>21.0767373972547</v>
      </c>
      <c r="B28">
        <v>25</v>
      </c>
      <c r="C28" s="19">
        <f t="shared" si="1"/>
        <v>21.739130434782609</v>
      </c>
      <c r="D28" s="19">
        <f t="shared" si="2"/>
        <v>30.460869565217394</v>
      </c>
      <c r="E28" s="19">
        <f t="shared" si="3"/>
        <v>63.762886597938135</v>
      </c>
      <c r="F28" s="20">
        <f t="shared" si="4"/>
        <v>17.246620768265188</v>
      </c>
    </row>
    <row r="29" spans="1:6" x14ac:dyDescent="0.25">
      <c r="A29">
        <f t="shared" si="0"/>
        <v>21.850826444510883</v>
      </c>
      <c r="B29">
        <v>26</v>
      </c>
      <c r="C29" s="19">
        <f t="shared" si="1"/>
        <v>22.608695652173914</v>
      </c>
      <c r="D29" s="19">
        <f t="shared" si="2"/>
        <v>31.591304347826089</v>
      </c>
      <c r="E29" s="19">
        <f t="shared" si="3"/>
        <v>64.924623115577901</v>
      </c>
      <c r="F29" s="20">
        <f t="shared" si="4"/>
        <v>18.006971910476146</v>
      </c>
    </row>
    <row r="30" spans="1:6" x14ac:dyDescent="0.25">
      <c r="A30">
        <f t="shared" si="0"/>
        <v>22.627416997969533</v>
      </c>
      <c r="B30">
        <v>27</v>
      </c>
      <c r="C30" s="19">
        <f t="shared" si="1"/>
        <v>23.478260869565219</v>
      </c>
      <c r="D30" s="19">
        <f t="shared" si="2"/>
        <v>32.721739130434784</v>
      </c>
      <c r="E30" s="19">
        <f t="shared" si="3"/>
        <v>66.029411764705884</v>
      </c>
      <c r="F30" s="20">
        <f t="shared" si="4"/>
        <v>18.770253799264786</v>
      </c>
    </row>
    <row r="31" spans="1:6" x14ac:dyDescent="0.25">
      <c r="A31">
        <f t="shared" si="0"/>
        <v>23.406438569366841</v>
      </c>
      <c r="B31">
        <v>28</v>
      </c>
      <c r="C31" s="19">
        <f t="shared" si="1"/>
        <v>24.347826086956523</v>
      </c>
      <c r="D31" s="19">
        <f t="shared" si="2"/>
        <v>33.85217391304348</v>
      </c>
      <c r="E31" s="19">
        <f t="shared" si="3"/>
        <v>67.081339712918663</v>
      </c>
      <c r="F31" s="20">
        <f t="shared" si="4"/>
        <v>19.536368516209606</v>
      </c>
    </row>
    <row r="32" spans="1:6" x14ac:dyDescent="0.25">
      <c r="A32">
        <f t="shared" si="0"/>
        <v>24.187824736971848</v>
      </c>
      <c r="B32">
        <v>29</v>
      </c>
      <c r="C32" s="19">
        <f t="shared" si="1"/>
        <v>25.217391304347824</v>
      </c>
      <c r="D32" s="19">
        <f t="shared" si="2"/>
        <v>34.982608695652175</v>
      </c>
      <c r="E32" s="19">
        <f t="shared" si="3"/>
        <v>68.0841121495327</v>
      </c>
      <c r="F32" s="20">
        <f t="shared" si="4"/>
        <v>20.305224803725249</v>
      </c>
    </row>
    <row r="33" spans="1:6" x14ac:dyDescent="0.25">
      <c r="A33">
        <f t="shared" si="0"/>
        <v>24.971512798008899</v>
      </c>
      <c r="B33">
        <v>30</v>
      </c>
      <c r="C33" s="19">
        <f t="shared" si="1"/>
        <v>26.086956521739129</v>
      </c>
      <c r="D33" s="19">
        <f t="shared" si="2"/>
        <v>36.11304347826087</v>
      </c>
      <c r="E33" s="19">
        <f t="shared" si="3"/>
        <v>69.041095890410972</v>
      </c>
      <c r="F33" s="20">
        <f t="shared" si="4"/>
        <v>21.0767373972547</v>
      </c>
    </row>
    <row r="34" spans="1:6" x14ac:dyDescent="0.25">
      <c r="A34">
        <f t="shared" si="0"/>
        <v>25.757443459894603</v>
      </c>
      <c r="B34">
        <v>31</v>
      </c>
      <c r="F34" s="20">
        <f t="shared" si="4"/>
        <v>21.850826444510883</v>
      </c>
    </row>
    <row r="35" spans="1:6" x14ac:dyDescent="0.25">
      <c r="A35">
        <f t="shared" si="0"/>
        <v>26.545560564994162</v>
      </c>
      <c r="B35">
        <v>32</v>
      </c>
      <c r="F35" s="20">
        <f t="shared" si="4"/>
        <v>22.627416997969533</v>
      </c>
    </row>
    <row r="36" spans="1:6" x14ac:dyDescent="0.25">
      <c r="A36">
        <f t="shared" ref="A36:A67" si="5">((B36+5)^$L$1)/$L$2</f>
        <v>27.335810844448407</v>
      </c>
      <c r="B36">
        <v>33</v>
      </c>
      <c r="F36" s="20">
        <f t="shared" ref="F36:F67" si="6">(B36^$L$1)/$L$2</f>
        <v>23.406438569366841</v>
      </c>
    </row>
    <row r="37" spans="1:6" x14ac:dyDescent="0.25">
      <c r="A37">
        <f t="shared" si="5"/>
        <v>28.128143697315256</v>
      </c>
      <c r="B37">
        <v>34</v>
      </c>
      <c r="F37" s="20">
        <f t="shared" si="6"/>
        <v>24.187824736971848</v>
      </c>
    </row>
    <row r="38" spans="1:6" x14ac:dyDescent="0.25">
      <c r="A38">
        <f t="shared" si="5"/>
        <v>28.922510991838504</v>
      </c>
      <c r="B38">
        <v>35</v>
      </c>
      <c r="F38" s="20">
        <f t="shared" si="6"/>
        <v>24.971512798008899</v>
      </c>
    </row>
    <row r="39" spans="1:6" x14ac:dyDescent="0.25">
      <c r="A39">
        <f t="shared" si="5"/>
        <v>29.718866886128055</v>
      </c>
      <c r="B39">
        <v>36</v>
      </c>
      <c r="F39" s="20">
        <f t="shared" si="6"/>
        <v>25.757443459894603</v>
      </c>
    </row>
    <row r="40" spans="1:6" x14ac:dyDescent="0.25">
      <c r="A40">
        <f t="shared" si="5"/>
        <v>30.517167665927641</v>
      </c>
      <c r="B40">
        <v>37</v>
      </c>
      <c r="F40" s="20">
        <f t="shared" si="6"/>
        <v>26.545560564994162</v>
      </c>
    </row>
    <row r="41" spans="1:6" x14ac:dyDescent="0.25">
      <c r="A41">
        <f t="shared" si="5"/>
        <v>31.317371597472359</v>
      </c>
      <c r="B41">
        <v>38</v>
      </c>
      <c r="F41" s="20">
        <f t="shared" si="6"/>
        <v>27.335810844448407</v>
      </c>
    </row>
    <row r="42" spans="1:6" x14ac:dyDescent="0.25">
      <c r="A42">
        <f t="shared" si="5"/>
        <v>32.119438793713989</v>
      </c>
      <c r="B42">
        <v>39</v>
      </c>
      <c r="F42" s="20">
        <f t="shared" si="6"/>
        <v>28.128143697315256</v>
      </c>
    </row>
    <row r="43" spans="1:6" x14ac:dyDescent="0.25">
      <c r="A43">
        <f t="shared" si="5"/>
        <v>32.923331092422551</v>
      </c>
      <c r="B43">
        <v>40</v>
      </c>
      <c r="F43" s="20">
        <f t="shared" si="6"/>
        <v>28.922510991838504</v>
      </c>
    </row>
    <row r="44" spans="1:6" x14ac:dyDescent="0.25">
      <c r="A44">
        <f t="shared" si="5"/>
        <v>33.729011944868674</v>
      </c>
      <c r="B44">
        <v>41</v>
      </c>
      <c r="F44" s="20">
        <f t="shared" si="6"/>
        <v>29.718866886128055</v>
      </c>
    </row>
    <row r="45" spans="1:6" x14ac:dyDescent="0.25">
      <c r="A45">
        <f t="shared" si="5"/>
        <v>34.536446313958344</v>
      </c>
      <c r="B45">
        <v>42</v>
      </c>
      <c r="F45" s="20">
        <f t="shared" si="6"/>
        <v>30.517167665927641</v>
      </c>
    </row>
    <row r="46" spans="1:6" x14ac:dyDescent="0.25">
      <c r="A46">
        <f t="shared" si="5"/>
        <v>35.345600580832567</v>
      </c>
      <c r="B46">
        <v>43</v>
      </c>
      <c r="F46" s="20">
        <f t="shared" si="6"/>
        <v>31.317371597472359</v>
      </c>
    </row>
    <row r="47" spans="1:6" x14ac:dyDescent="0.25">
      <c r="A47">
        <f t="shared" si="5"/>
        <v>36.156442459066547</v>
      </c>
      <c r="B47">
        <v>44</v>
      </c>
      <c r="F47" s="20">
        <f t="shared" si="6"/>
        <v>32.119438793713989</v>
      </c>
    </row>
    <row r="48" spans="1:6" x14ac:dyDescent="0.25">
      <c r="A48">
        <f t="shared" si="5"/>
        <v>36.968940915707854</v>
      </c>
      <c r="B48">
        <v>45</v>
      </c>
      <c r="F48" s="20">
        <f t="shared" si="6"/>
        <v>32.923331092422551</v>
      </c>
    </row>
    <row r="49" spans="1:6" x14ac:dyDescent="0.25">
      <c r="A49">
        <f t="shared" si="5"/>
        <v>37.783066098481562</v>
      </c>
      <c r="B49">
        <v>46</v>
      </c>
      <c r="F49" s="20">
        <f t="shared" si="6"/>
        <v>33.729011944868674</v>
      </c>
    </row>
    <row r="50" spans="1:6" x14ac:dyDescent="0.25">
      <c r="A50">
        <f t="shared" si="5"/>
        <v>38.598789268569583</v>
      </c>
      <c r="B50">
        <v>47</v>
      </c>
      <c r="F50" s="20">
        <f t="shared" si="6"/>
        <v>34.536446313958344</v>
      </c>
    </row>
    <row r="51" spans="1:6" x14ac:dyDescent="0.25">
      <c r="A51">
        <f t="shared" si="5"/>
        <v>39.416082738438199</v>
      </c>
      <c r="B51">
        <v>48</v>
      </c>
      <c r="F51" s="20">
        <f t="shared" si="6"/>
        <v>35.345600580832567</v>
      </c>
    </row>
    <row r="52" spans="1:6" x14ac:dyDescent="0.25">
      <c r="A52">
        <f t="shared" si="5"/>
        <v>40.234919814246048</v>
      </c>
      <c r="B52">
        <v>49</v>
      </c>
      <c r="F52" s="20">
        <f t="shared" si="6"/>
        <v>36.156442459066547</v>
      </c>
    </row>
    <row r="53" spans="1:6" x14ac:dyDescent="0.25">
      <c r="A53">
        <f t="shared" si="5"/>
        <v>41.05527474241709</v>
      </c>
      <c r="B53">
        <v>50</v>
      </c>
      <c r="F53" s="20">
        <f t="shared" si="6"/>
        <v>36.968940915707854</v>
      </c>
    </row>
    <row r="54" spans="1:6" x14ac:dyDescent="0.25">
      <c r="A54">
        <f t="shared" si="5"/>
        <v>41.87712266000603</v>
      </c>
      <c r="B54">
        <v>51</v>
      </c>
      <c r="F54" s="20">
        <f t="shared" si="6"/>
        <v>37.783066098481562</v>
      </c>
    </row>
    <row r="55" spans="1:6" x14ac:dyDescent="0.25">
      <c r="A55">
        <f t="shared" si="5"/>
        <v>42.700439548524983</v>
      </c>
      <c r="B55">
        <v>52</v>
      </c>
      <c r="F55" s="20">
        <f t="shared" si="6"/>
        <v>38.598789268569583</v>
      </c>
    </row>
    <row r="56" spans="1:6" x14ac:dyDescent="0.25">
      <c r="A56">
        <f t="shared" si="5"/>
        <v>43.525202190932852</v>
      </c>
      <c r="B56">
        <v>53</v>
      </c>
      <c r="F56" s="20">
        <f t="shared" si="6"/>
        <v>39.416082738438199</v>
      </c>
    </row>
    <row r="57" spans="1:6" x14ac:dyDescent="0.25">
      <c r="A57">
        <f t="shared" si="5"/>
        <v>44.351388131520082</v>
      </c>
      <c r="B57">
        <v>54</v>
      </c>
      <c r="F57" s="20">
        <f t="shared" si="6"/>
        <v>40.234919814246048</v>
      </c>
    </row>
    <row r="58" spans="1:6" x14ac:dyDescent="0.25">
      <c r="A58">
        <f t="shared" si="5"/>
        <v>45.178975638447682</v>
      </c>
      <c r="B58">
        <v>55</v>
      </c>
      <c r="F58" s="20">
        <f t="shared" si="6"/>
        <v>41.05527474241709</v>
      </c>
    </row>
    <row r="59" spans="1:6" x14ac:dyDescent="0.25">
      <c r="A59">
        <f t="shared" si="5"/>
        <v>46.007943668724671</v>
      </c>
      <c r="B59">
        <v>56</v>
      </c>
      <c r="F59" s="20">
        <f t="shared" si="6"/>
        <v>41.87712266000603</v>
      </c>
    </row>
    <row r="60" spans="1:6" x14ac:dyDescent="0.25">
      <c r="A60">
        <f t="shared" si="5"/>
        <v>46.838271835426063</v>
      </c>
      <c r="B60">
        <v>57</v>
      </c>
      <c r="F60" s="20">
        <f t="shared" si="6"/>
        <v>42.700439548524983</v>
      </c>
    </row>
    <row r="61" spans="1:6" x14ac:dyDescent="0.25">
      <c r="A61">
        <f t="shared" si="5"/>
        <v>47.669940376975774</v>
      </c>
      <c r="B61">
        <v>58</v>
      </c>
      <c r="F61" s="20">
        <f t="shared" si="6"/>
        <v>43.525202190932852</v>
      </c>
    </row>
    <row r="62" spans="1:6" x14ac:dyDescent="0.25">
      <c r="A62">
        <f t="shared" si="5"/>
        <v>48.502930128332721</v>
      </c>
      <c r="B62">
        <v>59</v>
      </c>
      <c r="F62" s="20">
        <f t="shared" si="6"/>
        <v>44.351388131520082</v>
      </c>
    </row>
    <row r="63" spans="1:6" x14ac:dyDescent="0.25">
      <c r="A63">
        <f t="shared" si="5"/>
        <v>49.337222493934661</v>
      </c>
      <c r="B63">
        <v>60</v>
      </c>
      <c r="F63" s="20">
        <f t="shared" si="6"/>
        <v>45.178975638447682</v>
      </c>
    </row>
    <row r="64" spans="1:6" x14ac:dyDescent="0.25">
      <c r="A64">
        <f t="shared" si="5"/>
        <v>50.172799422266642</v>
      </c>
      <c r="B64">
        <v>61</v>
      </c>
      <c r="F64" s="20">
        <f t="shared" si="6"/>
        <v>46.007943668724671</v>
      </c>
    </row>
    <row r="65" spans="1:6" x14ac:dyDescent="0.25">
      <c r="A65">
        <f t="shared" si="5"/>
        <v>51.009643381934325</v>
      </c>
      <c r="B65">
        <v>62</v>
      </c>
      <c r="F65" s="20">
        <f t="shared" si="6"/>
        <v>46.838271835426063</v>
      </c>
    </row>
    <row r="66" spans="1:6" x14ac:dyDescent="0.25">
      <c r="A66">
        <f t="shared" si="5"/>
        <v>51.847737339130667</v>
      </c>
      <c r="B66">
        <v>63</v>
      </c>
      <c r="F66" s="20">
        <f t="shared" si="6"/>
        <v>47.669940376975774</v>
      </c>
    </row>
    <row r="67" spans="1:6" x14ac:dyDescent="0.25">
      <c r="A67">
        <f t="shared" si="5"/>
        <v>52.687064736396479</v>
      </c>
      <c r="B67">
        <v>64</v>
      </c>
      <c r="F67" s="20">
        <f t="shared" si="6"/>
        <v>48.502930128332721</v>
      </c>
    </row>
    <row r="68" spans="1:6" x14ac:dyDescent="0.25">
      <c r="A68">
        <f t="shared" ref="A68:A99" si="7">((B68+5)^$L$1)/$L$2</f>
        <v>53.527609472582746</v>
      </c>
      <c r="B68">
        <v>65</v>
      </c>
      <c r="F68" s="20">
        <f t="shared" ref="F68:F99" si="8">(B68^$L$1)/$L$2</f>
        <v>49.337222493934661</v>
      </c>
    </row>
    <row r="69" spans="1:6" x14ac:dyDescent="0.25">
      <c r="A69">
        <f t="shared" si="7"/>
        <v>54.369355883929991</v>
      </c>
      <c r="B69">
        <v>66</v>
      </c>
      <c r="F69" s="20">
        <f t="shared" si="8"/>
        <v>50.172799422266642</v>
      </c>
    </row>
    <row r="70" spans="1:6" x14ac:dyDescent="0.25">
      <c r="A70">
        <f t="shared" si="7"/>
        <v>55.212288726188099</v>
      </c>
      <c r="B70">
        <v>67</v>
      </c>
      <c r="F70" s="20">
        <f t="shared" si="8"/>
        <v>51.009643381934325</v>
      </c>
    </row>
    <row r="71" spans="1:6" x14ac:dyDescent="0.25">
      <c r="A71">
        <f t="shared" si="7"/>
        <v>56.056393157705202</v>
      </c>
      <c r="B71">
        <v>68</v>
      </c>
      <c r="F71" s="20">
        <f t="shared" si="8"/>
        <v>51.847737339130667</v>
      </c>
    </row>
    <row r="72" spans="1:6" x14ac:dyDescent="0.25">
      <c r="A72">
        <f t="shared" si="7"/>
        <v>56.901654723421373</v>
      </c>
      <c r="B72">
        <v>69</v>
      </c>
      <c r="F72" s="20">
        <f t="shared" si="8"/>
        <v>52.687064736396479</v>
      </c>
    </row>
    <row r="73" spans="1:6" x14ac:dyDescent="0.25">
      <c r="A73">
        <f t="shared" si="7"/>
        <v>57.74805933970557</v>
      </c>
      <c r="B73">
        <v>70</v>
      </c>
      <c r="F73" s="20">
        <f t="shared" si="8"/>
        <v>53.527609472582746</v>
      </c>
    </row>
    <row r="74" spans="1:6" x14ac:dyDescent="0.25">
      <c r="A74">
        <f t="shared" si="7"/>
        <v>58.595593279983241</v>
      </c>
      <c r="B74">
        <v>71</v>
      </c>
      <c r="F74" s="20">
        <f t="shared" si="8"/>
        <v>54.369355883929991</v>
      </c>
    </row>
    <row r="75" spans="1:6" x14ac:dyDescent="0.25">
      <c r="A75">
        <f t="shared" si="7"/>
        <v>59.444243161100374</v>
      </c>
      <c r="B75">
        <v>72</v>
      </c>
      <c r="F75" s="20">
        <f t="shared" si="8"/>
        <v>55.212288726188099</v>
      </c>
    </row>
    <row r="76" spans="1:6" x14ac:dyDescent="0.25">
      <c r="A76">
        <f t="shared" si="7"/>
        <v>60.293995930379971</v>
      </c>
      <c r="B76">
        <v>73</v>
      </c>
      <c r="F76" s="20">
        <f t="shared" si="8"/>
        <v>56.056393157705202</v>
      </c>
    </row>
    <row r="77" spans="1:6" x14ac:dyDescent="0.25">
      <c r="A77">
        <f t="shared" si="7"/>
        <v>61.144838853325844</v>
      </c>
      <c r="B77">
        <v>74</v>
      </c>
      <c r="F77" s="20">
        <f t="shared" si="8"/>
        <v>56.901654723421373</v>
      </c>
    </row>
    <row r="78" spans="1:6" x14ac:dyDescent="0.25">
      <c r="A78">
        <f t="shared" si="7"/>
        <v>61.996759501933461</v>
      </c>
      <c r="B78">
        <v>75</v>
      </c>
      <c r="F78" s="20">
        <f t="shared" si="8"/>
        <v>57.74805933970557</v>
      </c>
    </row>
    <row r="79" spans="1:6" x14ac:dyDescent="0.25">
      <c r="A79">
        <f t="shared" si="7"/>
        <v>62.849745743572107</v>
      </c>
      <c r="B79">
        <v>76</v>
      </c>
      <c r="F79" s="20">
        <f t="shared" si="8"/>
        <v>58.595593279983241</v>
      </c>
    </row>
    <row r="80" spans="1:6" x14ac:dyDescent="0.25">
      <c r="A80">
        <f t="shared" si="7"/>
        <v>63.703785730401364</v>
      </c>
      <c r="B80">
        <v>77</v>
      </c>
      <c r="F80" s="20">
        <f t="shared" si="8"/>
        <v>59.444243161100374</v>
      </c>
    </row>
    <row r="81" spans="1:6" x14ac:dyDescent="0.25">
      <c r="A81">
        <f t="shared" si="7"/>
        <v>64.558867889292614</v>
      </c>
      <c r="B81">
        <v>78</v>
      </c>
      <c r="F81" s="20">
        <f t="shared" si="8"/>
        <v>60.293995930379971</v>
      </c>
    </row>
    <row r="82" spans="1:6" x14ac:dyDescent="0.25">
      <c r="A82">
        <f t="shared" si="7"/>
        <v>65.414980912223697</v>
      </c>
      <c r="B82">
        <v>79</v>
      </c>
      <c r="F82" s="20">
        <f t="shared" si="8"/>
        <v>61.144838853325844</v>
      </c>
    </row>
    <row r="83" spans="1:6" x14ac:dyDescent="0.25">
      <c r="A83">
        <f t="shared" si="7"/>
        <v>66.2721137471204</v>
      </c>
      <c r="B83">
        <v>80</v>
      </c>
      <c r="F83" s="20">
        <f t="shared" si="8"/>
        <v>61.996759501933461</v>
      </c>
    </row>
    <row r="84" spans="1:6" x14ac:dyDescent="0.25">
      <c r="A84">
        <f t="shared" si="7"/>
        <v>67.130255589117368</v>
      </c>
      <c r="B84">
        <v>81</v>
      </c>
      <c r="F84" s="20">
        <f t="shared" si="8"/>
        <v>62.849745743572107</v>
      </c>
    </row>
    <row r="85" spans="1:6" x14ac:dyDescent="0.25">
      <c r="A85">
        <f t="shared" si="7"/>
        <v>67.989395872217372</v>
      </c>
      <c r="B85">
        <v>82</v>
      </c>
      <c r="F85" s="20">
        <f t="shared" si="8"/>
        <v>63.703785730401364</v>
      </c>
    </row>
    <row r="86" spans="1:6" x14ac:dyDescent="0.25">
      <c r="A86">
        <f t="shared" si="7"/>
        <v>68.849524261322827</v>
      </c>
      <c r="B86">
        <v>83</v>
      </c>
      <c r="F86" s="20">
        <f t="shared" si="8"/>
        <v>64.558867889292614</v>
      </c>
    </row>
    <row r="87" spans="1:6" x14ac:dyDescent="0.25">
      <c r="A87">
        <f t="shared" si="7"/>
        <v>69.710630644622015</v>
      </c>
      <c r="B87">
        <v>84</v>
      </c>
      <c r="F87" s="20">
        <f t="shared" si="8"/>
        <v>65.414980912223697</v>
      </c>
    </row>
    <row r="88" spans="1:6" x14ac:dyDescent="0.25">
      <c r="A88">
        <f t="shared" si="7"/>
        <v>70.572705126309032</v>
      </c>
      <c r="B88">
        <v>85</v>
      </c>
      <c r="F88" s="20">
        <f t="shared" si="8"/>
        <v>66.2721137471204</v>
      </c>
    </row>
    <row r="89" spans="1:6" x14ac:dyDescent="0.25">
      <c r="A89">
        <f t="shared" si="7"/>
        <v>71.435738019618384</v>
      </c>
      <c r="B89">
        <v>86</v>
      </c>
      <c r="F89" s="20">
        <f t="shared" si="8"/>
        <v>67.130255589117368</v>
      </c>
    </row>
    <row r="90" spans="1:6" x14ac:dyDescent="0.25">
      <c r="A90">
        <f t="shared" si="7"/>
        <v>72.299719840159796</v>
      </c>
      <c r="B90">
        <v>87</v>
      </c>
      <c r="F90" s="20">
        <f t="shared" si="8"/>
        <v>67.989395872217372</v>
      </c>
    </row>
    <row r="91" spans="1:6" x14ac:dyDescent="0.25">
      <c r="A91">
        <f t="shared" si="7"/>
        <v>73.164641299534438</v>
      </c>
      <c r="B91">
        <v>88</v>
      </c>
      <c r="F91" s="20">
        <f t="shared" si="8"/>
        <v>68.849524261322827</v>
      </c>
    </row>
    <row r="92" spans="1:6" x14ac:dyDescent="0.25">
      <c r="A92">
        <f t="shared" si="7"/>
        <v>74.03049329921987</v>
      </c>
      <c r="B92">
        <v>89</v>
      </c>
      <c r="F92" s="20">
        <f t="shared" si="8"/>
        <v>69.710630644622015</v>
      </c>
    </row>
    <row r="93" spans="1:6" x14ac:dyDescent="0.25">
      <c r="A93">
        <f t="shared" si="7"/>
        <v>74.89726692470866</v>
      </c>
      <c r="B93">
        <v>90</v>
      </c>
      <c r="F93" s="20">
        <f t="shared" si="8"/>
        <v>70.572705126309032</v>
      </c>
    </row>
    <row r="94" spans="1:6" x14ac:dyDescent="0.25">
      <c r="A94">
        <f t="shared" si="7"/>
        <v>75.764953439887407</v>
      </c>
      <c r="B94">
        <v>91</v>
      </c>
      <c r="F94" s="20">
        <f t="shared" si="8"/>
        <v>71.435738019618384</v>
      </c>
    </row>
    <row r="95" spans="1:6" x14ac:dyDescent="0.25">
      <c r="A95">
        <f t="shared" si="7"/>
        <v>76.633544281644731</v>
      </c>
      <c r="B95">
        <v>92</v>
      </c>
      <c r="F95" s="20">
        <f t="shared" si="8"/>
        <v>72.299719840159796</v>
      </c>
    </row>
    <row r="96" spans="1:6" x14ac:dyDescent="0.25">
      <c r="A96">
        <f t="shared" si="7"/>
        <v>77.503031054695995</v>
      </c>
      <c r="B96">
        <v>93</v>
      </c>
      <c r="F96" s="20">
        <f t="shared" si="8"/>
        <v>73.164641299534438</v>
      </c>
    </row>
    <row r="97" spans="1:6" x14ac:dyDescent="0.25">
      <c r="A97">
        <f t="shared" si="7"/>
        <v>78.373405526613936</v>
      </c>
      <c r="B97">
        <v>94</v>
      </c>
      <c r="F97" s="20">
        <f t="shared" si="8"/>
        <v>74.03049329921987</v>
      </c>
    </row>
    <row r="98" spans="1:6" x14ac:dyDescent="0.25">
      <c r="A98">
        <f t="shared" si="7"/>
        <v>79.244659623055767</v>
      </c>
      <c r="B98">
        <v>95</v>
      </c>
      <c r="F98" s="20">
        <f t="shared" si="8"/>
        <v>74.89726692470866</v>
      </c>
    </row>
    <row r="99" spans="1:6" x14ac:dyDescent="0.25">
      <c r="A99">
        <f t="shared" si="7"/>
        <v>80.116785423175386</v>
      </c>
      <c r="B99">
        <v>96</v>
      </c>
      <c r="F99" s="20">
        <f t="shared" si="8"/>
        <v>75.764953439887407</v>
      </c>
    </row>
    <row r="100" spans="1:6" x14ac:dyDescent="0.25">
      <c r="A100">
        <f t="shared" ref="A100:A118" si="9">((B100+5)^$L$1)/$L$2</f>
        <v>80.98977515521436</v>
      </c>
      <c r="B100">
        <v>97</v>
      </c>
      <c r="F100" s="20">
        <f t="shared" ref="F100:F118" si="10">(B100^$L$1)/$L$2</f>
        <v>76.633544281644731</v>
      </c>
    </row>
    <row r="101" spans="1:6" x14ac:dyDescent="0.25">
      <c r="A101">
        <f t="shared" si="9"/>
        <v>81.863621192260524</v>
      </c>
      <c r="B101">
        <v>98</v>
      </c>
      <c r="F101" s="20">
        <f t="shared" si="10"/>
        <v>77.503031054695995</v>
      </c>
    </row>
    <row r="102" spans="1:6" x14ac:dyDescent="0.25">
      <c r="A102">
        <f t="shared" si="9"/>
        <v>82.738316048167079</v>
      </c>
      <c r="B102">
        <v>99</v>
      </c>
      <c r="F102" s="20">
        <f t="shared" si="10"/>
        <v>78.373405526613936</v>
      </c>
    </row>
    <row r="103" spans="1:6" x14ac:dyDescent="0.25">
      <c r="A103">
        <f t="shared" si="9"/>
        <v>83.613852373625889</v>
      </c>
      <c r="B103">
        <v>100</v>
      </c>
      <c r="F103" s="20">
        <f t="shared" si="10"/>
        <v>79.244659623055767</v>
      </c>
    </row>
    <row r="104" spans="1:6" x14ac:dyDescent="0.25">
      <c r="A104">
        <f t="shared" si="9"/>
        <v>84.490222952385778</v>
      </c>
      <c r="B104">
        <v>101</v>
      </c>
      <c r="F104" s="20">
        <f t="shared" si="10"/>
        <v>80.116785423175386</v>
      </c>
    </row>
    <row r="105" spans="1:6" x14ac:dyDescent="0.25">
      <c r="A105">
        <f t="shared" si="9"/>
        <v>85.367420697610484</v>
      </c>
      <c r="B105">
        <v>102</v>
      </c>
      <c r="F105" s="20">
        <f t="shared" si="10"/>
        <v>80.98977515521436</v>
      </c>
    </row>
    <row r="106" spans="1:6" x14ac:dyDescent="0.25">
      <c r="A106">
        <f t="shared" si="9"/>
        <v>86.245438648369202</v>
      </c>
      <c r="B106">
        <v>103</v>
      </c>
      <c r="F106" s="20">
        <f t="shared" si="10"/>
        <v>81.863621192260524</v>
      </c>
    </row>
    <row r="107" spans="1:6" x14ac:dyDescent="0.25">
      <c r="A107">
        <f t="shared" si="9"/>
        <v>87.124269966253962</v>
      </c>
      <c r="B107">
        <v>104</v>
      </c>
      <c r="F107" s="20">
        <f t="shared" si="10"/>
        <v>82.738316048167079</v>
      </c>
    </row>
    <row r="108" spans="1:6" x14ac:dyDescent="0.25">
      <c r="A108">
        <f t="shared" si="9"/>
        <v>88.003907932118381</v>
      </c>
      <c r="B108">
        <v>105</v>
      </c>
      <c r="F108" s="20">
        <f t="shared" si="10"/>
        <v>83.613852373625889</v>
      </c>
    </row>
    <row r="109" spans="1:6" x14ac:dyDescent="0.25">
      <c r="A109">
        <f t="shared" si="9"/>
        <v>88.884345942931603</v>
      </c>
      <c r="B109">
        <v>106</v>
      </c>
      <c r="F109" s="20">
        <f t="shared" si="10"/>
        <v>84.490222952385778</v>
      </c>
    </row>
    <row r="110" spans="1:6" x14ac:dyDescent="0.25">
      <c r="A110">
        <f t="shared" si="9"/>
        <v>89.765577508743377</v>
      </c>
      <c r="B110">
        <v>107</v>
      </c>
      <c r="F110" s="20">
        <f t="shared" si="10"/>
        <v>85.367420697610484</v>
      </c>
    </row>
    <row r="111" spans="1:6" x14ac:dyDescent="0.25">
      <c r="A111">
        <f t="shared" si="9"/>
        <v>90.647596249754528</v>
      </c>
      <c r="B111">
        <v>108</v>
      </c>
      <c r="F111" s="20">
        <f t="shared" si="10"/>
        <v>86.245438648369202</v>
      </c>
    </row>
    <row r="112" spans="1:6" x14ac:dyDescent="0.25">
      <c r="A112">
        <f t="shared" si="9"/>
        <v>91.530395893488588</v>
      </c>
      <c r="B112">
        <v>109</v>
      </c>
      <c r="F112" s="20">
        <f t="shared" si="10"/>
        <v>87.124269966253962</v>
      </c>
    </row>
    <row r="113" spans="1:6" x14ac:dyDescent="0.25">
      <c r="A113">
        <f t="shared" si="9"/>
        <v>92.413970272060197</v>
      </c>
      <c r="B113">
        <v>110</v>
      </c>
      <c r="F113" s="20">
        <f t="shared" si="10"/>
        <v>88.003907932118381</v>
      </c>
    </row>
    <row r="114" spans="1:6" x14ac:dyDescent="0.25">
      <c r="A114">
        <f t="shared" si="9"/>
        <v>93.298313319536717</v>
      </c>
      <c r="B114">
        <v>111</v>
      </c>
      <c r="F114" s="20">
        <f t="shared" si="10"/>
        <v>88.884345942931603</v>
      </c>
    </row>
    <row r="115" spans="1:6" x14ac:dyDescent="0.25">
      <c r="A115">
        <f t="shared" si="9"/>
        <v>94.183419069387867</v>
      </c>
      <c r="B115">
        <v>112</v>
      </c>
      <c r="F115" s="20">
        <f t="shared" si="10"/>
        <v>89.765577508743377</v>
      </c>
    </row>
    <row r="116" spans="1:6" x14ac:dyDescent="0.25">
      <c r="A116">
        <f t="shared" si="9"/>
        <v>95.069281652020692</v>
      </c>
      <c r="B116">
        <v>113</v>
      </c>
      <c r="F116" s="20">
        <f t="shared" si="10"/>
        <v>90.647596249754528</v>
      </c>
    </row>
    <row r="117" spans="1:6" x14ac:dyDescent="0.25">
      <c r="A117">
        <f t="shared" si="9"/>
        <v>95.955895292396079</v>
      </c>
      <c r="B117">
        <v>114</v>
      </c>
      <c r="F117" s="20">
        <f t="shared" si="10"/>
        <v>91.530395893488588</v>
      </c>
    </row>
    <row r="118" spans="1:6" x14ac:dyDescent="0.25">
      <c r="A118">
        <f t="shared" si="9"/>
        <v>96.843254307723825</v>
      </c>
      <c r="B118">
        <v>115</v>
      </c>
      <c r="F118" s="20">
        <f t="shared" si="10"/>
        <v>92.413970272060197</v>
      </c>
    </row>
  </sheetData>
  <pageMargins left="0.7" right="0.7" top="1.1437007874015748" bottom="1.1437007874015748" header="0.75" footer="0.75"/>
  <pageSetup paperSize="0" fitToWidth="0" fitToHeight="0" orientation="portrait" horizontalDpi="0" verticalDpi="0" copies="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Q118"/>
  <sheetViews>
    <sheetView tabSelected="1" workbookViewId="0">
      <selection activeCell="F2" sqref="F2"/>
    </sheetView>
  </sheetViews>
  <sheetFormatPr defaultRowHeight="15" x14ac:dyDescent="0.25"/>
  <cols>
    <col min="2" max="2" width="7.42578125" customWidth="1"/>
    <col min="3" max="3" width="12.140625" style="20" bestFit="1" customWidth="1"/>
    <col min="4" max="4" width="9.140625" style="20"/>
    <col min="7" max="7" width="9.140625" style="19"/>
  </cols>
  <sheetData>
    <row r="1" spans="2:17" ht="17.25" x14ac:dyDescent="0.25">
      <c r="C1"/>
      <c r="D1" s="21"/>
      <c r="E1">
        <v>1</v>
      </c>
      <c r="F1">
        <v>0</v>
      </c>
    </row>
    <row r="2" spans="2:17" x14ac:dyDescent="0.25">
      <c r="E2">
        <v>20</v>
      </c>
      <c r="F2">
        <v>6</v>
      </c>
      <c r="G2" s="19">
        <f>(F2-F1)/(E2-E1)</f>
        <v>0.31578947368421051</v>
      </c>
      <c r="M2">
        <f>IF(2&lt;3,17,18)</f>
        <v>17</v>
      </c>
    </row>
    <row r="3" spans="2:17" x14ac:dyDescent="0.25">
      <c r="E3">
        <v>50</v>
      </c>
      <c r="F3">
        <v>9</v>
      </c>
      <c r="G3" s="19">
        <f t="shared" ref="G3:G5" si="0">(F3-F2)/(E3-E2)</f>
        <v>0.1</v>
      </c>
    </row>
    <row r="4" spans="2:17" x14ac:dyDescent="0.25">
      <c r="B4">
        <v>1</v>
      </c>
      <c r="C4" s="20">
        <f t="shared" ref="C4:C35" si="1">IF(B4&lt;$E$2,(B4-$E$1)*$G$2+$F$1,(IF(B4&lt;$E$3,(B4-$E$2)*$G$3+$F$2,(IF(B4&lt;$E$4,(B4-$E$3)*$G$4+$F$3,(B4-$E$4)*$G$5+$F$4)))))</f>
        <v>0</v>
      </c>
      <c r="D4"/>
      <c r="E4">
        <v>90</v>
      </c>
      <c r="F4">
        <v>30</v>
      </c>
      <c r="G4" s="19">
        <f t="shared" si="0"/>
        <v>0.52500000000000002</v>
      </c>
      <c r="J4" s="22" t="str">
        <f>csvRange(C:C)</f>
        <v>0,0,1,1,1,2,2,2,3,3,3,3,4,4,4,5,5,5,6,6,6,6,6,6,6,7,7,7,7,7,7,7,7,7,8,8,8,8,8,8,8,8,8,8,8,9,9,9,9,9,10,10,11,11,12,12,13,13,14,14,15,15,16,16,17,17,18,18,19,20,20,21,21,22,22,23,23,24,24,25,25,26,26,27,27,28,28,29,29,30,33,37,40,44,47,50,54,57,61,64,67,71,74,78,81,84,88,91,95,98,101,105,108,112,115</v>
      </c>
      <c r="K4" s="22"/>
      <c r="L4" s="22"/>
      <c r="M4" s="22"/>
      <c r="N4" s="22"/>
      <c r="O4" s="22"/>
      <c r="P4" s="22"/>
      <c r="Q4" s="22"/>
    </row>
    <row r="5" spans="2:17" x14ac:dyDescent="0.25">
      <c r="B5">
        <v>2</v>
      </c>
      <c r="C5" s="20">
        <f t="shared" si="1"/>
        <v>0.31578947368421051</v>
      </c>
      <c r="D5"/>
      <c r="E5">
        <v>115</v>
      </c>
      <c r="F5">
        <v>115</v>
      </c>
      <c r="G5" s="19">
        <f t="shared" si="0"/>
        <v>3.4</v>
      </c>
      <c r="J5" s="22"/>
      <c r="K5" s="22"/>
      <c r="L5" s="22"/>
      <c r="M5" s="22"/>
      <c r="N5" s="22"/>
      <c r="O5" s="22"/>
      <c r="P5" s="22"/>
      <c r="Q5" s="22"/>
    </row>
    <row r="6" spans="2:17" x14ac:dyDescent="0.25">
      <c r="B6">
        <v>3</v>
      </c>
      <c r="C6" s="20">
        <f t="shared" si="1"/>
        <v>0.63157894736842102</v>
      </c>
      <c r="D6"/>
      <c r="J6" s="22"/>
      <c r="K6" s="22"/>
      <c r="L6" s="22"/>
      <c r="M6" s="22"/>
      <c r="N6" s="22"/>
      <c r="O6" s="22"/>
      <c r="P6" s="22"/>
      <c r="Q6" s="22"/>
    </row>
    <row r="7" spans="2:17" x14ac:dyDescent="0.25">
      <c r="B7">
        <v>4</v>
      </c>
      <c r="C7" s="20">
        <f t="shared" si="1"/>
        <v>0.94736842105263153</v>
      </c>
      <c r="D7"/>
      <c r="J7" s="22"/>
      <c r="K7" s="22"/>
      <c r="L7" s="22"/>
      <c r="M7" s="22"/>
      <c r="N7" s="22"/>
      <c r="O7" s="22"/>
      <c r="P7" s="22"/>
      <c r="Q7" s="22"/>
    </row>
    <row r="8" spans="2:17" x14ac:dyDescent="0.25">
      <c r="B8">
        <v>5</v>
      </c>
      <c r="C8" s="20">
        <f t="shared" si="1"/>
        <v>1.263157894736842</v>
      </c>
      <c r="D8"/>
      <c r="J8" s="22"/>
      <c r="K8" s="22"/>
      <c r="L8" s="22"/>
      <c r="M8" s="22"/>
      <c r="N8" s="22"/>
      <c r="O8" s="22"/>
      <c r="P8" s="22"/>
      <c r="Q8" s="22"/>
    </row>
    <row r="9" spans="2:17" x14ac:dyDescent="0.25">
      <c r="B9">
        <v>6</v>
      </c>
      <c r="C9" s="20">
        <f t="shared" si="1"/>
        <v>1.5789473684210527</v>
      </c>
      <c r="D9"/>
      <c r="J9" s="22"/>
      <c r="K9" s="22"/>
      <c r="L9" s="22"/>
      <c r="M9" s="22"/>
      <c r="N9" s="22"/>
      <c r="O9" s="22"/>
      <c r="P9" s="22"/>
      <c r="Q9" s="22"/>
    </row>
    <row r="10" spans="2:17" x14ac:dyDescent="0.25">
      <c r="B10">
        <v>7</v>
      </c>
      <c r="C10" s="20">
        <f t="shared" si="1"/>
        <v>1.8947368421052631</v>
      </c>
      <c r="D10"/>
    </row>
    <row r="11" spans="2:17" x14ac:dyDescent="0.25">
      <c r="B11">
        <v>8</v>
      </c>
      <c r="C11" s="20">
        <f t="shared" si="1"/>
        <v>2.2105263157894735</v>
      </c>
      <c r="D11"/>
    </row>
    <row r="12" spans="2:17" x14ac:dyDescent="0.25">
      <c r="B12">
        <v>9</v>
      </c>
      <c r="C12" s="20">
        <f t="shared" si="1"/>
        <v>2.5263157894736841</v>
      </c>
      <c r="D12"/>
    </row>
    <row r="13" spans="2:17" x14ac:dyDescent="0.25">
      <c r="B13">
        <v>10</v>
      </c>
      <c r="C13" s="20">
        <f t="shared" si="1"/>
        <v>2.8421052631578947</v>
      </c>
      <c r="D13"/>
    </row>
    <row r="14" spans="2:17" x14ac:dyDescent="0.25">
      <c r="B14">
        <v>11</v>
      </c>
      <c r="C14" s="20">
        <f t="shared" si="1"/>
        <v>3.1578947368421053</v>
      </c>
      <c r="D14"/>
    </row>
    <row r="15" spans="2:17" x14ac:dyDescent="0.25">
      <c r="B15">
        <v>12</v>
      </c>
      <c r="C15" s="20">
        <f t="shared" si="1"/>
        <v>3.4736842105263155</v>
      </c>
      <c r="D15"/>
    </row>
    <row r="16" spans="2:17" x14ac:dyDescent="0.25">
      <c r="B16">
        <v>13</v>
      </c>
      <c r="C16" s="20">
        <f t="shared" si="1"/>
        <v>3.7894736842105261</v>
      </c>
      <c r="D16"/>
    </row>
    <row r="17" spans="2:4" x14ac:dyDescent="0.25">
      <c r="B17">
        <v>14</v>
      </c>
      <c r="C17" s="20">
        <f t="shared" si="1"/>
        <v>4.1052631578947363</v>
      </c>
      <c r="D17"/>
    </row>
    <row r="18" spans="2:4" x14ac:dyDescent="0.25">
      <c r="B18">
        <v>15</v>
      </c>
      <c r="C18" s="20">
        <f t="shared" si="1"/>
        <v>4.4210526315789469</v>
      </c>
      <c r="D18"/>
    </row>
    <row r="19" spans="2:4" x14ac:dyDescent="0.25">
      <c r="B19">
        <v>16</v>
      </c>
      <c r="C19" s="20">
        <f t="shared" si="1"/>
        <v>4.7368421052631575</v>
      </c>
      <c r="D19"/>
    </row>
    <row r="20" spans="2:4" x14ac:dyDescent="0.25">
      <c r="B20">
        <v>17</v>
      </c>
      <c r="C20" s="20">
        <f t="shared" si="1"/>
        <v>5.0526315789473681</v>
      </c>
      <c r="D20"/>
    </row>
    <row r="21" spans="2:4" x14ac:dyDescent="0.25">
      <c r="B21">
        <v>18</v>
      </c>
      <c r="C21" s="20">
        <f t="shared" si="1"/>
        <v>5.3684210526315788</v>
      </c>
      <c r="D21"/>
    </row>
    <row r="22" spans="2:4" x14ac:dyDescent="0.25">
      <c r="B22">
        <v>19</v>
      </c>
      <c r="C22" s="20">
        <f t="shared" si="1"/>
        <v>5.6842105263157894</v>
      </c>
      <c r="D22"/>
    </row>
    <row r="23" spans="2:4" x14ac:dyDescent="0.25">
      <c r="B23">
        <v>20</v>
      </c>
      <c r="C23" s="20">
        <f t="shared" si="1"/>
        <v>6</v>
      </c>
      <c r="D23"/>
    </row>
    <row r="24" spans="2:4" x14ac:dyDescent="0.25">
      <c r="B24">
        <v>21</v>
      </c>
      <c r="C24" s="20">
        <f t="shared" si="1"/>
        <v>6.1</v>
      </c>
      <c r="D24"/>
    </row>
    <row r="25" spans="2:4" x14ac:dyDescent="0.25">
      <c r="B25">
        <v>22</v>
      </c>
      <c r="C25" s="20">
        <f t="shared" si="1"/>
        <v>6.2</v>
      </c>
      <c r="D25"/>
    </row>
    <row r="26" spans="2:4" x14ac:dyDescent="0.25">
      <c r="B26">
        <v>23</v>
      </c>
      <c r="C26" s="20">
        <f t="shared" si="1"/>
        <v>6.3</v>
      </c>
      <c r="D26"/>
    </row>
    <row r="27" spans="2:4" x14ac:dyDescent="0.25">
      <c r="B27">
        <v>24</v>
      </c>
      <c r="C27" s="20">
        <f t="shared" si="1"/>
        <v>6.4</v>
      </c>
      <c r="D27"/>
    </row>
    <row r="28" spans="2:4" x14ac:dyDescent="0.25">
      <c r="B28">
        <v>25</v>
      </c>
      <c r="C28" s="20">
        <f t="shared" si="1"/>
        <v>6.5</v>
      </c>
      <c r="D28"/>
    </row>
    <row r="29" spans="2:4" x14ac:dyDescent="0.25">
      <c r="B29">
        <v>26</v>
      </c>
      <c r="C29" s="20">
        <f t="shared" si="1"/>
        <v>6.6</v>
      </c>
      <c r="D29"/>
    </row>
    <row r="30" spans="2:4" x14ac:dyDescent="0.25">
      <c r="B30">
        <v>27</v>
      </c>
      <c r="C30" s="20">
        <f t="shared" si="1"/>
        <v>6.7</v>
      </c>
      <c r="D30"/>
    </row>
    <row r="31" spans="2:4" x14ac:dyDescent="0.25">
      <c r="B31">
        <v>28</v>
      </c>
      <c r="C31" s="20">
        <f t="shared" si="1"/>
        <v>6.8</v>
      </c>
      <c r="D31"/>
    </row>
    <row r="32" spans="2:4" x14ac:dyDescent="0.25">
      <c r="B32">
        <v>29</v>
      </c>
      <c r="C32" s="20">
        <f t="shared" si="1"/>
        <v>6.9</v>
      </c>
      <c r="D32"/>
    </row>
    <row r="33" spans="2:4" x14ac:dyDescent="0.25">
      <c r="B33">
        <v>30</v>
      </c>
      <c r="C33" s="20">
        <f t="shared" si="1"/>
        <v>7</v>
      </c>
      <c r="D33"/>
    </row>
    <row r="34" spans="2:4" x14ac:dyDescent="0.25">
      <c r="B34">
        <v>31</v>
      </c>
      <c r="C34" s="20">
        <f t="shared" si="1"/>
        <v>7.1</v>
      </c>
      <c r="D34"/>
    </row>
    <row r="35" spans="2:4" x14ac:dyDescent="0.25">
      <c r="B35">
        <v>32</v>
      </c>
      <c r="C35" s="20">
        <f t="shared" si="1"/>
        <v>7.2</v>
      </c>
      <c r="D35"/>
    </row>
    <row r="36" spans="2:4" x14ac:dyDescent="0.25">
      <c r="B36">
        <v>33</v>
      </c>
      <c r="C36" s="20">
        <f t="shared" ref="C36:C67" si="2">IF(B36&lt;$E$2,(B36-$E$1)*$G$2+$F$1,(IF(B36&lt;$E$3,(B36-$E$2)*$G$3+$F$2,(IF(B36&lt;$E$4,(B36-$E$3)*$G$4+$F$3,(B36-$E$4)*$G$5+$F$4)))))</f>
        <v>7.3</v>
      </c>
      <c r="D36"/>
    </row>
    <row r="37" spans="2:4" x14ac:dyDescent="0.25">
      <c r="B37">
        <v>34</v>
      </c>
      <c r="C37" s="20">
        <f t="shared" si="2"/>
        <v>7.4</v>
      </c>
      <c r="D37"/>
    </row>
    <row r="38" spans="2:4" x14ac:dyDescent="0.25">
      <c r="B38">
        <v>35</v>
      </c>
      <c r="C38" s="20">
        <f t="shared" si="2"/>
        <v>7.5</v>
      </c>
      <c r="D38"/>
    </row>
    <row r="39" spans="2:4" x14ac:dyDescent="0.25">
      <c r="B39">
        <v>36</v>
      </c>
      <c r="C39" s="20">
        <f t="shared" si="2"/>
        <v>7.6</v>
      </c>
      <c r="D39"/>
    </row>
    <row r="40" spans="2:4" x14ac:dyDescent="0.25">
      <c r="B40">
        <v>37</v>
      </c>
      <c r="C40" s="20">
        <f t="shared" si="2"/>
        <v>7.7</v>
      </c>
      <c r="D40"/>
    </row>
    <row r="41" spans="2:4" x14ac:dyDescent="0.25">
      <c r="B41">
        <v>38</v>
      </c>
      <c r="C41" s="20">
        <f t="shared" si="2"/>
        <v>7.8</v>
      </c>
      <c r="D41"/>
    </row>
    <row r="42" spans="2:4" x14ac:dyDescent="0.25">
      <c r="B42">
        <v>39</v>
      </c>
      <c r="C42" s="20">
        <f t="shared" si="2"/>
        <v>7.9</v>
      </c>
      <c r="D42"/>
    </row>
    <row r="43" spans="2:4" x14ac:dyDescent="0.25">
      <c r="B43">
        <v>40</v>
      </c>
      <c r="C43" s="20">
        <f t="shared" si="2"/>
        <v>8</v>
      </c>
      <c r="D43"/>
    </row>
    <row r="44" spans="2:4" x14ac:dyDescent="0.25">
      <c r="B44">
        <v>41</v>
      </c>
      <c r="C44" s="20">
        <f t="shared" si="2"/>
        <v>8.1</v>
      </c>
      <c r="D44"/>
    </row>
    <row r="45" spans="2:4" x14ac:dyDescent="0.25">
      <c r="B45">
        <v>42</v>
      </c>
      <c r="C45" s="20">
        <f t="shared" si="2"/>
        <v>8.1999999999999993</v>
      </c>
      <c r="D45"/>
    </row>
    <row r="46" spans="2:4" x14ac:dyDescent="0.25">
      <c r="B46">
        <v>43</v>
      </c>
      <c r="C46" s="20">
        <f t="shared" si="2"/>
        <v>8.3000000000000007</v>
      </c>
      <c r="D46"/>
    </row>
    <row r="47" spans="2:4" x14ac:dyDescent="0.25">
      <c r="B47">
        <v>44</v>
      </c>
      <c r="C47" s="20">
        <f t="shared" si="2"/>
        <v>8.4</v>
      </c>
      <c r="D47"/>
    </row>
    <row r="48" spans="2:4" x14ac:dyDescent="0.25">
      <c r="B48">
        <v>45</v>
      </c>
      <c r="C48" s="20">
        <f t="shared" si="2"/>
        <v>8.5</v>
      </c>
      <c r="D48"/>
    </row>
    <row r="49" spans="2:4" x14ac:dyDescent="0.25">
      <c r="B49">
        <v>46</v>
      </c>
      <c r="C49" s="20">
        <f t="shared" si="2"/>
        <v>8.6</v>
      </c>
      <c r="D49"/>
    </row>
    <row r="50" spans="2:4" x14ac:dyDescent="0.25">
      <c r="B50">
        <v>47</v>
      </c>
      <c r="C50" s="20">
        <f t="shared" si="2"/>
        <v>8.6999999999999993</v>
      </c>
      <c r="D50"/>
    </row>
    <row r="51" spans="2:4" x14ac:dyDescent="0.25">
      <c r="B51">
        <v>48</v>
      </c>
      <c r="C51" s="20">
        <f t="shared" si="2"/>
        <v>8.8000000000000007</v>
      </c>
      <c r="D51"/>
    </row>
    <row r="52" spans="2:4" x14ac:dyDescent="0.25">
      <c r="B52">
        <v>49</v>
      </c>
      <c r="C52" s="20">
        <f t="shared" si="2"/>
        <v>8.9</v>
      </c>
      <c r="D52"/>
    </row>
    <row r="53" spans="2:4" x14ac:dyDescent="0.25">
      <c r="B53">
        <v>50</v>
      </c>
      <c r="C53" s="20">
        <f t="shared" si="2"/>
        <v>9</v>
      </c>
      <c r="D53"/>
    </row>
    <row r="54" spans="2:4" x14ac:dyDescent="0.25">
      <c r="B54">
        <v>51</v>
      </c>
      <c r="C54" s="20">
        <f t="shared" si="2"/>
        <v>9.5250000000000004</v>
      </c>
      <c r="D54"/>
    </row>
    <row r="55" spans="2:4" x14ac:dyDescent="0.25">
      <c r="B55">
        <v>52</v>
      </c>
      <c r="C55" s="20">
        <f t="shared" si="2"/>
        <v>10.050000000000001</v>
      </c>
      <c r="D55"/>
    </row>
    <row r="56" spans="2:4" x14ac:dyDescent="0.25">
      <c r="B56">
        <v>53</v>
      </c>
      <c r="C56" s="20">
        <f t="shared" si="2"/>
        <v>10.574999999999999</v>
      </c>
      <c r="D56"/>
    </row>
    <row r="57" spans="2:4" x14ac:dyDescent="0.25">
      <c r="B57">
        <v>54</v>
      </c>
      <c r="C57" s="20">
        <f t="shared" si="2"/>
        <v>11.1</v>
      </c>
      <c r="D57"/>
    </row>
    <row r="58" spans="2:4" x14ac:dyDescent="0.25">
      <c r="B58">
        <v>55</v>
      </c>
      <c r="C58" s="20">
        <f t="shared" si="2"/>
        <v>11.625</v>
      </c>
      <c r="D58"/>
    </row>
    <row r="59" spans="2:4" x14ac:dyDescent="0.25">
      <c r="B59">
        <v>56</v>
      </c>
      <c r="C59" s="20">
        <f t="shared" si="2"/>
        <v>12.15</v>
      </c>
      <c r="D59"/>
    </row>
    <row r="60" spans="2:4" x14ac:dyDescent="0.25">
      <c r="B60">
        <v>57</v>
      </c>
      <c r="C60" s="20">
        <f t="shared" si="2"/>
        <v>12.675000000000001</v>
      </c>
      <c r="D60"/>
    </row>
    <row r="61" spans="2:4" x14ac:dyDescent="0.25">
      <c r="B61">
        <v>58</v>
      </c>
      <c r="C61" s="20">
        <f t="shared" si="2"/>
        <v>13.2</v>
      </c>
      <c r="D61"/>
    </row>
    <row r="62" spans="2:4" x14ac:dyDescent="0.25">
      <c r="B62">
        <v>59</v>
      </c>
      <c r="C62" s="20">
        <f t="shared" si="2"/>
        <v>13.725000000000001</v>
      </c>
      <c r="D62"/>
    </row>
    <row r="63" spans="2:4" x14ac:dyDescent="0.25">
      <c r="B63">
        <v>60</v>
      </c>
      <c r="C63" s="20">
        <f t="shared" si="2"/>
        <v>14.25</v>
      </c>
      <c r="D63"/>
    </row>
    <row r="64" spans="2:4" x14ac:dyDescent="0.25">
      <c r="B64">
        <v>61</v>
      </c>
      <c r="C64" s="20">
        <f t="shared" si="2"/>
        <v>14.775</v>
      </c>
      <c r="D64"/>
    </row>
    <row r="65" spans="2:4" x14ac:dyDescent="0.25">
      <c r="B65">
        <v>62</v>
      </c>
      <c r="C65" s="20">
        <f t="shared" si="2"/>
        <v>15.3</v>
      </c>
      <c r="D65"/>
    </row>
    <row r="66" spans="2:4" x14ac:dyDescent="0.25">
      <c r="B66">
        <v>63</v>
      </c>
      <c r="C66" s="20">
        <f t="shared" si="2"/>
        <v>15.824999999999999</v>
      </c>
      <c r="D66"/>
    </row>
    <row r="67" spans="2:4" x14ac:dyDescent="0.25">
      <c r="B67">
        <v>64</v>
      </c>
      <c r="C67" s="20">
        <f t="shared" si="2"/>
        <v>16.350000000000001</v>
      </c>
      <c r="D67"/>
    </row>
    <row r="68" spans="2:4" x14ac:dyDescent="0.25">
      <c r="B68">
        <v>65</v>
      </c>
      <c r="C68" s="20">
        <f t="shared" ref="C68:C99" si="3">IF(B68&lt;$E$2,(B68-$E$1)*$G$2+$F$1,(IF(B68&lt;$E$3,(B68-$E$2)*$G$3+$F$2,(IF(B68&lt;$E$4,(B68-$E$3)*$G$4+$F$3,(B68-$E$4)*$G$5+$F$4)))))</f>
        <v>16.875</v>
      </c>
      <c r="D68"/>
    </row>
    <row r="69" spans="2:4" x14ac:dyDescent="0.25">
      <c r="B69">
        <v>66</v>
      </c>
      <c r="C69" s="20">
        <f t="shared" si="3"/>
        <v>17.399999999999999</v>
      </c>
      <c r="D69"/>
    </row>
    <row r="70" spans="2:4" x14ac:dyDescent="0.25">
      <c r="B70">
        <v>67</v>
      </c>
      <c r="C70" s="20">
        <f t="shared" si="3"/>
        <v>17.925000000000001</v>
      </c>
      <c r="D70"/>
    </row>
    <row r="71" spans="2:4" x14ac:dyDescent="0.25">
      <c r="B71">
        <v>68</v>
      </c>
      <c r="C71" s="20">
        <f t="shared" si="3"/>
        <v>18.450000000000003</v>
      </c>
      <c r="D71"/>
    </row>
    <row r="72" spans="2:4" x14ac:dyDescent="0.25">
      <c r="B72">
        <v>69</v>
      </c>
      <c r="C72" s="20">
        <f t="shared" si="3"/>
        <v>18.975000000000001</v>
      </c>
      <c r="D72"/>
    </row>
    <row r="73" spans="2:4" x14ac:dyDescent="0.25">
      <c r="B73">
        <v>70</v>
      </c>
      <c r="C73" s="20">
        <f t="shared" si="3"/>
        <v>19.5</v>
      </c>
      <c r="D73"/>
    </row>
    <row r="74" spans="2:4" x14ac:dyDescent="0.25">
      <c r="B74">
        <v>71</v>
      </c>
      <c r="C74" s="20">
        <f t="shared" si="3"/>
        <v>20.024999999999999</v>
      </c>
      <c r="D74"/>
    </row>
    <row r="75" spans="2:4" x14ac:dyDescent="0.25">
      <c r="B75">
        <v>72</v>
      </c>
      <c r="C75" s="20">
        <f t="shared" si="3"/>
        <v>20.55</v>
      </c>
      <c r="D75"/>
    </row>
    <row r="76" spans="2:4" x14ac:dyDescent="0.25">
      <c r="B76">
        <v>73</v>
      </c>
      <c r="C76" s="20">
        <f t="shared" si="3"/>
        <v>21.075000000000003</v>
      </c>
      <c r="D76"/>
    </row>
    <row r="77" spans="2:4" x14ac:dyDescent="0.25">
      <c r="B77">
        <v>74</v>
      </c>
      <c r="C77" s="20">
        <f t="shared" si="3"/>
        <v>21.6</v>
      </c>
      <c r="D77"/>
    </row>
    <row r="78" spans="2:4" x14ac:dyDescent="0.25">
      <c r="B78">
        <v>75</v>
      </c>
      <c r="C78" s="20">
        <f t="shared" si="3"/>
        <v>22.125</v>
      </c>
      <c r="D78"/>
    </row>
    <row r="79" spans="2:4" x14ac:dyDescent="0.25">
      <c r="B79">
        <v>76</v>
      </c>
      <c r="C79" s="20">
        <f t="shared" si="3"/>
        <v>22.65</v>
      </c>
      <c r="D79"/>
    </row>
    <row r="80" spans="2:4" x14ac:dyDescent="0.25">
      <c r="B80">
        <v>77</v>
      </c>
      <c r="C80" s="20">
        <f t="shared" si="3"/>
        <v>23.175000000000001</v>
      </c>
      <c r="D80"/>
    </row>
    <row r="81" spans="2:4" x14ac:dyDescent="0.25">
      <c r="B81">
        <v>78</v>
      </c>
      <c r="C81" s="20">
        <f t="shared" si="3"/>
        <v>23.700000000000003</v>
      </c>
      <c r="D81"/>
    </row>
    <row r="82" spans="2:4" x14ac:dyDescent="0.25">
      <c r="B82">
        <v>79</v>
      </c>
      <c r="C82" s="20">
        <f t="shared" si="3"/>
        <v>24.225000000000001</v>
      </c>
      <c r="D82"/>
    </row>
    <row r="83" spans="2:4" x14ac:dyDescent="0.25">
      <c r="B83">
        <v>80</v>
      </c>
      <c r="C83" s="20">
        <f t="shared" ref="C83:C118" si="4">IF(B83&lt;$E$2,(B83-$E$1)*$G$2+$F$1,(IF(B83&lt;$E$3,(B83-$E$2)*$G$3+$F$2,(IF(B83&lt;$E$4,(B83-$E$3)*$G$4+$F$3,(B83-$E$4)*$G$5+$F$4)))))</f>
        <v>24.75</v>
      </c>
      <c r="D83"/>
    </row>
    <row r="84" spans="2:4" x14ac:dyDescent="0.25">
      <c r="B84">
        <v>81</v>
      </c>
      <c r="C84" s="20">
        <f t="shared" si="4"/>
        <v>25.275000000000002</v>
      </c>
      <c r="D84"/>
    </row>
    <row r="85" spans="2:4" x14ac:dyDescent="0.25">
      <c r="B85">
        <v>82</v>
      </c>
      <c r="C85" s="20">
        <f t="shared" si="4"/>
        <v>25.8</v>
      </c>
      <c r="D85"/>
    </row>
    <row r="86" spans="2:4" x14ac:dyDescent="0.25">
      <c r="B86">
        <v>83</v>
      </c>
      <c r="C86" s="20">
        <f t="shared" si="4"/>
        <v>26.324999999999999</v>
      </c>
      <c r="D86"/>
    </row>
    <row r="87" spans="2:4" x14ac:dyDescent="0.25">
      <c r="B87">
        <v>84</v>
      </c>
      <c r="C87" s="20">
        <f t="shared" si="4"/>
        <v>26.85</v>
      </c>
      <c r="D87"/>
    </row>
    <row r="88" spans="2:4" x14ac:dyDescent="0.25">
      <c r="B88">
        <v>85</v>
      </c>
      <c r="C88" s="20">
        <f t="shared" si="4"/>
        <v>27.375</v>
      </c>
      <c r="D88"/>
    </row>
    <row r="89" spans="2:4" x14ac:dyDescent="0.25">
      <c r="B89">
        <v>86</v>
      </c>
      <c r="C89" s="20">
        <f t="shared" si="4"/>
        <v>27.900000000000002</v>
      </c>
      <c r="D89"/>
    </row>
    <row r="90" spans="2:4" x14ac:dyDescent="0.25">
      <c r="B90">
        <v>87</v>
      </c>
      <c r="C90" s="20">
        <f t="shared" si="4"/>
        <v>28.425000000000001</v>
      </c>
      <c r="D90"/>
    </row>
    <row r="91" spans="2:4" x14ac:dyDescent="0.25">
      <c r="B91">
        <v>88</v>
      </c>
      <c r="C91" s="20">
        <f t="shared" si="4"/>
        <v>28.95</v>
      </c>
      <c r="D91"/>
    </row>
    <row r="92" spans="2:4" x14ac:dyDescent="0.25">
      <c r="B92">
        <v>89</v>
      </c>
      <c r="C92" s="20">
        <f t="shared" si="4"/>
        <v>29.475000000000001</v>
      </c>
      <c r="D92"/>
    </row>
    <row r="93" spans="2:4" x14ac:dyDescent="0.25">
      <c r="B93">
        <v>90</v>
      </c>
      <c r="C93" s="20">
        <f t="shared" si="4"/>
        <v>30</v>
      </c>
      <c r="D93"/>
    </row>
    <row r="94" spans="2:4" x14ac:dyDescent="0.25">
      <c r="B94">
        <v>91</v>
      </c>
      <c r="C94" s="20">
        <f t="shared" si="4"/>
        <v>33.4</v>
      </c>
      <c r="D94"/>
    </row>
    <row r="95" spans="2:4" x14ac:dyDescent="0.25">
      <c r="B95">
        <v>92</v>
      </c>
      <c r="C95" s="20">
        <f t="shared" si="4"/>
        <v>36.799999999999997</v>
      </c>
      <c r="D95"/>
    </row>
    <row r="96" spans="2:4" x14ac:dyDescent="0.25">
      <c r="B96">
        <v>93</v>
      </c>
      <c r="C96" s="20">
        <f t="shared" si="4"/>
        <v>40.200000000000003</v>
      </c>
      <c r="D96"/>
    </row>
    <row r="97" spans="2:4" x14ac:dyDescent="0.25">
      <c r="B97">
        <v>94</v>
      </c>
      <c r="C97" s="20">
        <f t="shared" si="4"/>
        <v>43.6</v>
      </c>
      <c r="D97"/>
    </row>
    <row r="98" spans="2:4" x14ac:dyDescent="0.25">
      <c r="B98">
        <v>95</v>
      </c>
      <c r="C98" s="20">
        <f t="shared" si="4"/>
        <v>47</v>
      </c>
      <c r="D98"/>
    </row>
    <row r="99" spans="2:4" x14ac:dyDescent="0.25">
      <c r="B99">
        <v>96</v>
      </c>
      <c r="C99" s="20">
        <f t="shared" si="4"/>
        <v>50.4</v>
      </c>
      <c r="D99"/>
    </row>
    <row r="100" spans="2:4" x14ac:dyDescent="0.25">
      <c r="B100">
        <v>97</v>
      </c>
      <c r="C100" s="20">
        <f t="shared" si="4"/>
        <v>53.8</v>
      </c>
      <c r="D100"/>
    </row>
    <row r="101" spans="2:4" x14ac:dyDescent="0.25">
      <c r="B101">
        <v>98</v>
      </c>
      <c r="C101" s="20">
        <f t="shared" si="4"/>
        <v>57.2</v>
      </c>
      <c r="D101"/>
    </row>
    <row r="102" spans="2:4" x14ac:dyDescent="0.25">
      <c r="B102">
        <v>99</v>
      </c>
      <c r="C102" s="20">
        <f t="shared" si="4"/>
        <v>60.599999999999994</v>
      </c>
      <c r="D102"/>
    </row>
    <row r="103" spans="2:4" x14ac:dyDescent="0.25">
      <c r="B103">
        <v>100</v>
      </c>
      <c r="C103" s="20">
        <f t="shared" si="4"/>
        <v>64</v>
      </c>
      <c r="D103"/>
    </row>
    <row r="104" spans="2:4" x14ac:dyDescent="0.25">
      <c r="B104">
        <v>101</v>
      </c>
      <c r="C104" s="20">
        <f t="shared" si="4"/>
        <v>67.400000000000006</v>
      </c>
    </row>
    <row r="105" spans="2:4" x14ac:dyDescent="0.25">
      <c r="B105">
        <v>102</v>
      </c>
      <c r="C105" s="20">
        <f t="shared" si="4"/>
        <v>70.8</v>
      </c>
    </row>
    <row r="106" spans="2:4" x14ac:dyDescent="0.25">
      <c r="B106">
        <v>103</v>
      </c>
      <c r="C106" s="20">
        <f t="shared" si="4"/>
        <v>74.199999999999989</v>
      </c>
    </row>
    <row r="107" spans="2:4" x14ac:dyDescent="0.25">
      <c r="B107">
        <v>104</v>
      </c>
      <c r="C107" s="20">
        <f t="shared" si="4"/>
        <v>77.599999999999994</v>
      </c>
    </row>
    <row r="108" spans="2:4" x14ac:dyDescent="0.25">
      <c r="B108">
        <v>105</v>
      </c>
      <c r="C108" s="20">
        <f t="shared" si="4"/>
        <v>81</v>
      </c>
    </row>
    <row r="109" spans="2:4" x14ac:dyDescent="0.25">
      <c r="B109">
        <v>106</v>
      </c>
      <c r="C109" s="20">
        <f t="shared" si="4"/>
        <v>84.4</v>
      </c>
    </row>
    <row r="110" spans="2:4" x14ac:dyDescent="0.25">
      <c r="B110">
        <v>107</v>
      </c>
      <c r="C110" s="20">
        <f t="shared" si="4"/>
        <v>87.8</v>
      </c>
    </row>
    <row r="111" spans="2:4" x14ac:dyDescent="0.25">
      <c r="B111">
        <v>108</v>
      </c>
      <c r="C111" s="20">
        <f t="shared" si="4"/>
        <v>91.199999999999989</v>
      </c>
    </row>
    <row r="112" spans="2:4" x14ac:dyDescent="0.25">
      <c r="B112">
        <v>109</v>
      </c>
      <c r="C112" s="20">
        <f t="shared" si="4"/>
        <v>94.6</v>
      </c>
    </row>
    <row r="113" spans="2:3" x14ac:dyDescent="0.25">
      <c r="B113">
        <v>110</v>
      </c>
      <c r="C113" s="20">
        <f t="shared" si="4"/>
        <v>98</v>
      </c>
    </row>
    <row r="114" spans="2:3" x14ac:dyDescent="0.25">
      <c r="B114">
        <v>111</v>
      </c>
      <c r="C114" s="20">
        <f t="shared" si="4"/>
        <v>101.39999999999999</v>
      </c>
    </row>
    <row r="115" spans="2:3" x14ac:dyDescent="0.25">
      <c r="B115">
        <v>112</v>
      </c>
      <c r="C115" s="20">
        <f t="shared" si="4"/>
        <v>104.8</v>
      </c>
    </row>
    <row r="116" spans="2:3" x14ac:dyDescent="0.25">
      <c r="B116">
        <v>113</v>
      </c>
      <c r="C116" s="20">
        <f t="shared" si="4"/>
        <v>108.2</v>
      </c>
    </row>
    <row r="117" spans="2:3" x14ac:dyDescent="0.25">
      <c r="B117">
        <v>114</v>
      </c>
      <c r="C117" s="20">
        <f t="shared" si="4"/>
        <v>111.6</v>
      </c>
    </row>
    <row r="118" spans="2:3" x14ac:dyDescent="0.25">
      <c r="B118">
        <v>115</v>
      </c>
      <c r="C118" s="20">
        <f t="shared" si="4"/>
        <v>115</v>
      </c>
    </row>
  </sheetData>
  <mergeCells count="1">
    <mergeCell ref="J4:Q9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40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Krasimir Tachev</dc:creator>
  <cp:lastModifiedBy>Lyudmil Tachev</cp:lastModifiedBy>
  <cp:revision>4</cp:revision>
  <dcterms:created xsi:type="dcterms:W3CDTF">2017-11-21T13:09:35Z</dcterms:created>
  <dcterms:modified xsi:type="dcterms:W3CDTF">2018-02-09T13:14:59Z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Microsoft</vt:lpwstr>
  </property>
  <property fmtid="{D5CDD505-2E9C-101B-9397-08002B2CF9AE}" pid="4" name="DocSecurity">
    <vt:r8>0</vt:r8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